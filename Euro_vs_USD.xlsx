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60" windowHeight="11580"/>
  </bookViews>
  <sheets>
    <sheet name="Euro_USD" sheetId="1" r:id="rId1"/>
  </sheets>
  <definedNames>
    <definedName name="solver_opt" localSheetId="0" hidden="1">Euro_USD!$J$2</definedName>
    <definedName name="solver_typ" localSheetId="0" hidden="1">1</definedName>
    <definedName name="solver_val" localSheetId="0" hidden="1">0</definedName>
    <definedName name="solver_neg" localSheetId="0" hidden="1">1</definedName>
    <definedName name="solver_num" localSheetId="0" hidden="1">0</definedName>
    <definedName name="solver_lin" localSheetId="0" hidden="1">0</definedName>
    <definedName name="solver_eng" localSheetId="0" hidden="1">1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tony</author>
  </authors>
  <commentList>
    <comment ref="F1" authorId="0">
      <text>
        <r>
          <rPr>
            <b/>
            <sz val="9"/>
            <rFont val="宋体"/>
            <charset val="0"/>
          </rPr>
          <t>tony:</t>
        </r>
        <r>
          <rPr>
            <sz val="9"/>
            <rFont val="宋体"/>
            <charset val="0"/>
          </rPr>
          <t xml:space="preserve">
The contribution of observation t to the negative log-likelihood under the assumption that returns are conditionally normally distributed.</t>
        </r>
      </text>
    </comment>
    <comment ref="J1" authorId="0">
      <text>
        <r>
          <rPr>
            <b/>
            <sz val="9"/>
            <rFont val="宋体"/>
            <charset val="0"/>
          </rPr>
          <t>tony:</t>
        </r>
        <r>
          <rPr>
            <sz val="9"/>
            <rFont val="宋体"/>
            <charset val="0"/>
          </rPr>
          <t xml:space="preserve">
trial lambda for EWMA</t>
        </r>
      </text>
    </comment>
    <comment ref="K1" authorId="0">
      <text>
        <r>
          <rPr>
            <b/>
            <sz val="9"/>
            <rFont val="宋体"/>
            <charset val="0"/>
          </rPr>
          <t>tony:</t>
        </r>
        <r>
          <rPr>
            <sz val="9"/>
            <rFont val="宋体"/>
            <charset val="0"/>
          </rPr>
          <t xml:space="preserve">
trial omega</t>
        </r>
      </text>
    </comment>
    <comment ref="J2" authorId="0">
      <text>
        <r>
          <rPr>
            <b/>
            <sz val="9"/>
            <rFont val="宋体"/>
            <charset val="0"/>
          </rPr>
          <t>tony:</t>
        </r>
        <r>
          <rPr>
            <sz val="9"/>
            <rFont val="宋体"/>
            <charset val="0"/>
          </rPr>
          <t xml:space="preserve">
Use the solver in Python to change the value of J1 until J2 is minimised.</t>
        </r>
      </text>
    </comment>
    <comment ref="K2" authorId="0">
      <text>
        <r>
          <rPr>
            <b/>
            <sz val="9"/>
            <rFont val="宋体"/>
            <charset val="0"/>
          </rPr>
          <t>tony:</t>
        </r>
        <r>
          <rPr>
            <sz val="9"/>
            <rFont val="宋体"/>
            <charset val="0"/>
          </rPr>
          <t xml:space="preserve">
trial alpha</t>
        </r>
      </text>
    </comment>
    <comment ref="K3" authorId="0">
      <text>
        <r>
          <rPr>
            <b/>
            <sz val="9"/>
            <rFont val="宋体"/>
            <charset val="0"/>
          </rPr>
          <t>tony:</t>
        </r>
        <r>
          <rPr>
            <sz val="9"/>
            <rFont val="宋体"/>
            <charset val="0"/>
          </rPr>
          <t xml:space="preserve">
trial beta</t>
        </r>
      </text>
    </comment>
    <comment ref="K4" authorId="0">
      <text>
        <r>
          <rPr>
            <b/>
            <sz val="9"/>
            <rFont val="宋体"/>
            <charset val="0"/>
          </rPr>
          <t>tony:</t>
        </r>
        <r>
          <rPr>
            <sz val="9"/>
            <rFont val="宋体"/>
            <charset val="0"/>
          </rPr>
          <t xml:space="preserve">
Use the solver in Python to change the value of K1, K2, K3 until K4 is minimised.</t>
        </r>
      </text>
    </comment>
  </commentList>
</comments>
</file>

<file path=xl/sharedStrings.xml><?xml version="1.0" encoding="utf-8"?>
<sst xmlns="http://schemas.openxmlformats.org/spreadsheetml/2006/main" count="7" uniqueCount="7">
  <si>
    <t>Date</t>
  </si>
  <si>
    <t>Euro/USD</t>
  </si>
  <si>
    <t>Log Return in Percent</t>
  </si>
  <si>
    <t>EWMA Variance</t>
  </si>
  <si>
    <t>GARCH(1,1) Variance</t>
  </si>
  <si>
    <t>EWMA Log-Likelihood</t>
  </si>
  <si>
    <t>GARCH(1,1) Log-Likelihood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</si>
</sst>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0"/>
    </font>
    <font>
      <sz val="9"/>
      <name val="宋体"/>
      <charset val="0"/>
    </font>
    <font>
      <b/>
      <sz val="9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2">
    <xf numFmtId="0" fontId="0" fillId="0" borderId="0" xfId="0">
      <alignment vertical="center"/>
    </xf>
    <xf numFmtId="14" fontId="1" fillId="0" borderId="0" xfId="0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DRI_FX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80"/>
  <sheetViews>
    <sheetView tabSelected="1" zoomScale="104" zoomScaleNormal="104" zoomScaleSheetLayoutView="60" workbookViewId="0">
      <selection activeCell="K4" sqref="K4"/>
    </sheetView>
  </sheetViews>
  <sheetFormatPr defaultColWidth="10.3846153846154" defaultRowHeight="16.8"/>
  <cols>
    <col min="3" max="3" width="14.0769230769231"/>
    <col min="4" max="5" width="12.9230769230769"/>
    <col min="6" max="7" width="14.0769230769231"/>
    <col min="10" max="10" width="12.9230769230769"/>
    <col min="11" max="11" width="14.076923076923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>
        <v>0.9</v>
      </c>
      <c r="K1">
        <v>0.001</v>
      </c>
    </row>
    <row r="2" spans="1:11">
      <c r="A2" s="1">
        <v>38560</v>
      </c>
      <c r="B2">
        <v>1.199</v>
      </c>
      <c r="J2">
        <f>SUM(F4:F1280)</f>
        <v>-6.03484074973906</v>
      </c>
      <c r="K2">
        <v>0.05</v>
      </c>
    </row>
    <row r="3" spans="1:11">
      <c r="A3" s="1">
        <v>38561</v>
      </c>
      <c r="B3">
        <v>1.21</v>
      </c>
      <c r="C3">
        <f>100*LN(B3/B2)</f>
        <v>0.913248356327247</v>
      </c>
      <c r="D3">
        <f>_xlfn.VAR.S(C3:C1280)</f>
        <v>0.452647007901705</v>
      </c>
      <c r="E3">
        <f>_xlfn.VAR.S(C3:C1280)</f>
        <v>0.452647007901705</v>
      </c>
      <c r="K3">
        <v>0.94</v>
      </c>
    </row>
    <row r="4" spans="1:11">
      <c r="A4" s="1">
        <v>38562</v>
      </c>
      <c r="B4">
        <v>1.2093</v>
      </c>
      <c r="C4">
        <f t="shared" ref="C4:C67" si="0">100*LN(B4/B3)</f>
        <v>-0.0578679799556919</v>
      </c>
      <c r="D4">
        <f>$J$1*D3+(1-$J$1)*C3^2</f>
        <v>0.490784563144976</v>
      </c>
      <c r="E4">
        <f>$K$1+$K$2*C3^2+$K$3*E3</f>
        <v>0.468189315444323</v>
      </c>
      <c r="F4">
        <f>0.5*(LN(D4)+C4^2/D4)</f>
        <v>-0.352463428004904</v>
      </c>
      <c r="G4">
        <f>0.5*(LN(E4)+C4^2/E4)</f>
        <v>-0.375865044739931</v>
      </c>
      <c r="K4">
        <f>SUM(G4:G1280)</f>
        <v>-14.0711670836627</v>
      </c>
    </row>
    <row r="5" spans="1:11">
      <c r="A5" s="1">
        <v>38565</v>
      </c>
      <c r="B5">
        <v>1.2219</v>
      </c>
      <c r="C5">
        <f t="shared" si="0"/>
        <v>1.03653445312467</v>
      </c>
      <c r="D5">
        <f t="shared" ref="D5:D68" si="1">$J$1*D4+(1-$J$1)*C4^2</f>
        <v>0.442040977140894</v>
      </c>
      <c r="E5">
        <f t="shared" ref="E5:E68" si="2">$K$1+$K$2*C4^2+$K$3*E4</f>
        <v>0.441265391672872</v>
      </c>
      <c r="F5">
        <f>0.5*(LN(D5)+C5^2/D5)</f>
        <v>0.807099757063375</v>
      </c>
      <c r="G5">
        <f t="shared" ref="G5:G68" si="3">0.5*(LN(E5)+C5^2/E5)</f>
        <v>0.808357725993226</v>
      </c>
    </row>
    <row r="6" spans="1:11">
      <c r="A6" s="1">
        <v>38566</v>
      </c>
      <c r="B6">
        <v>1.2217</v>
      </c>
      <c r="C6">
        <f t="shared" si="0"/>
        <v>-0.0163692912462453</v>
      </c>
      <c r="D6">
        <f t="shared" si="1"/>
        <v>0.505277246678251</v>
      </c>
      <c r="E6">
        <f t="shared" si="2"/>
        <v>0.469509651798223</v>
      </c>
      <c r="F6">
        <f>0.5*(LN(D6)+C6^2/D6)</f>
        <v>-0.341058843397375</v>
      </c>
      <c r="G6">
        <f t="shared" si="3"/>
        <v>-0.377747856634913</v>
      </c>
    </row>
    <row r="7" spans="1:11">
      <c r="A7" s="1">
        <v>38567</v>
      </c>
      <c r="B7">
        <v>1.2308</v>
      </c>
      <c r="C7">
        <f t="shared" si="0"/>
        <v>0.742103303787246</v>
      </c>
      <c r="D7">
        <f t="shared" si="1"/>
        <v>0.454776317380017</v>
      </c>
      <c r="E7">
        <f t="shared" si="2"/>
        <v>0.442352470375125</v>
      </c>
      <c r="F7">
        <f t="shared" ref="F7:F70" si="4">0.5*(LN(D7)+C7^2/D7)</f>
        <v>0.2115067263118</v>
      </c>
      <c r="G7">
        <f t="shared" si="3"/>
        <v>0.214662852407429</v>
      </c>
    </row>
    <row r="8" spans="1:11">
      <c r="A8" s="1">
        <v>38568</v>
      </c>
      <c r="B8">
        <v>1.2319</v>
      </c>
      <c r="C8">
        <f t="shared" si="0"/>
        <v>0.0893328520041688</v>
      </c>
      <c r="D8">
        <f t="shared" si="1"/>
        <v>0.46437041699121</v>
      </c>
      <c r="E8">
        <f t="shared" si="2"/>
        <v>0.444347187827214</v>
      </c>
      <c r="F8">
        <f t="shared" si="4"/>
        <v>-0.374943701820944</v>
      </c>
      <c r="G8">
        <f t="shared" si="3"/>
        <v>-0.396594665481423</v>
      </c>
    </row>
    <row r="9" spans="1:11">
      <c r="A9" s="1">
        <v>38569</v>
      </c>
      <c r="B9">
        <v>1.2386</v>
      </c>
      <c r="C9">
        <f t="shared" si="0"/>
        <v>0.542401653603215</v>
      </c>
      <c r="D9">
        <f t="shared" si="1"/>
        <v>0.418731411136808</v>
      </c>
      <c r="E9">
        <f t="shared" si="2"/>
        <v>0.419085374479941</v>
      </c>
      <c r="F9">
        <f t="shared" si="4"/>
        <v>-0.0839641501117946</v>
      </c>
      <c r="G9">
        <f t="shared" si="3"/>
        <v>-0.0838383771437962</v>
      </c>
    </row>
    <row r="10" spans="1:11">
      <c r="A10" s="1">
        <v>38572</v>
      </c>
      <c r="B10">
        <v>1.237</v>
      </c>
      <c r="C10">
        <f t="shared" si="0"/>
        <v>-0.129261611147246</v>
      </c>
      <c r="D10">
        <f t="shared" si="1"/>
        <v>0.406278225406278</v>
      </c>
      <c r="E10">
        <f t="shared" si="2"/>
        <v>0.40965022970272</v>
      </c>
      <c r="F10">
        <f t="shared" si="4"/>
        <v>-0.429795576981095</v>
      </c>
      <c r="G10">
        <f t="shared" si="3"/>
        <v>-0.425832095303024</v>
      </c>
    </row>
    <row r="11" spans="1:11">
      <c r="A11" s="1">
        <v>38573</v>
      </c>
      <c r="B11">
        <v>1.2367</v>
      </c>
      <c r="C11">
        <f t="shared" si="0"/>
        <v>-0.0242551644476681</v>
      </c>
      <c r="D11">
        <f t="shared" si="1"/>
        <v>0.367321259277288</v>
      </c>
      <c r="E11">
        <f t="shared" si="2"/>
        <v>0.386906644126376</v>
      </c>
      <c r="F11">
        <f t="shared" si="4"/>
        <v>-0.499958408633741</v>
      </c>
      <c r="G11">
        <f t="shared" si="3"/>
        <v>-0.474025644630406</v>
      </c>
    </row>
    <row r="12" spans="1:11">
      <c r="A12" s="1">
        <v>38574</v>
      </c>
      <c r="B12">
        <v>1.2377</v>
      </c>
      <c r="C12">
        <f t="shared" si="0"/>
        <v>0.0808276797965404</v>
      </c>
      <c r="D12">
        <f t="shared" si="1"/>
        <v>0.330647964649798</v>
      </c>
      <c r="E12">
        <f t="shared" si="2"/>
        <v>0.364721661128913</v>
      </c>
      <c r="F12">
        <f t="shared" si="4"/>
        <v>-0.543471251150937</v>
      </c>
      <c r="G12">
        <f t="shared" si="3"/>
        <v>-0.495354093463128</v>
      </c>
    </row>
    <row r="13" spans="1:11">
      <c r="A13" s="1">
        <v>38575</v>
      </c>
      <c r="B13">
        <v>1.2405</v>
      </c>
      <c r="C13">
        <f t="shared" si="0"/>
        <v>0.225970558587899</v>
      </c>
      <c r="D13">
        <f t="shared" si="1"/>
        <v>0.298236479566947</v>
      </c>
      <c r="E13">
        <f t="shared" si="2"/>
        <v>0.344165017152242</v>
      </c>
      <c r="F13">
        <f t="shared" si="4"/>
        <v>-0.519326550299541</v>
      </c>
      <c r="G13">
        <f t="shared" si="3"/>
        <v>-0.459133572647032</v>
      </c>
    </row>
    <row r="14" spans="1:11">
      <c r="A14" s="1">
        <v>38576</v>
      </c>
      <c r="B14">
        <v>1.2457</v>
      </c>
      <c r="C14">
        <f t="shared" si="0"/>
        <v>0.418309676019148</v>
      </c>
      <c r="D14">
        <f t="shared" si="1"/>
        <v>0.273519100945105</v>
      </c>
      <c r="E14">
        <f t="shared" si="2"/>
        <v>0.327068250790534</v>
      </c>
      <c r="F14">
        <f t="shared" si="4"/>
        <v>-0.328318482015632</v>
      </c>
      <c r="G14">
        <f t="shared" si="3"/>
        <v>-0.291290957344713</v>
      </c>
    </row>
    <row r="15" spans="1:11">
      <c r="A15" s="1">
        <v>38579</v>
      </c>
      <c r="B15">
        <v>1.2374</v>
      </c>
      <c r="C15">
        <f t="shared" si="0"/>
        <v>-0.66852167951585</v>
      </c>
      <c r="D15">
        <f t="shared" si="1"/>
        <v>0.263665489355719</v>
      </c>
      <c r="E15">
        <f t="shared" si="2"/>
        <v>0.317193304995664</v>
      </c>
      <c r="F15">
        <f t="shared" si="4"/>
        <v>0.180978577267164</v>
      </c>
      <c r="G15">
        <f t="shared" si="3"/>
        <v>0.130371540574686</v>
      </c>
    </row>
    <row r="16" spans="1:11">
      <c r="A16" s="1">
        <v>38580</v>
      </c>
      <c r="B16">
        <v>1.2313</v>
      </c>
      <c r="C16">
        <f t="shared" si="0"/>
        <v>-0.494188229806261</v>
      </c>
      <c r="D16">
        <f t="shared" si="1"/>
        <v>0.281991064018416</v>
      </c>
      <c r="E16">
        <f t="shared" si="2"/>
        <v>0.321507768495059</v>
      </c>
      <c r="F16">
        <f t="shared" si="4"/>
        <v>-0.199908484379725</v>
      </c>
      <c r="G16">
        <f t="shared" si="3"/>
        <v>-0.187559468246781</v>
      </c>
    </row>
    <row r="17" spans="1:7">
      <c r="A17" s="1">
        <v>38581</v>
      </c>
      <c r="B17">
        <v>1.2296</v>
      </c>
      <c r="C17">
        <f t="shared" si="0"/>
        <v>-0.138160857443977</v>
      </c>
      <c r="D17">
        <f t="shared" si="1"/>
        <v>0.278214158264479</v>
      </c>
      <c r="E17">
        <f t="shared" si="2"/>
        <v>0.315428402709308</v>
      </c>
      <c r="F17">
        <f t="shared" si="4"/>
        <v>-0.605376786181054</v>
      </c>
      <c r="G17">
        <f t="shared" si="3"/>
        <v>-0.546653845432604</v>
      </c>
    </row>
    <row r="18" spans="1:7">
      <c r="A18" s="1">
        <v>38582</v>
      </c>
      <c r="B18">
        <v>1.2213</v>
      </c>
      <c r="C18">
        <f t="shared" si="0"/>
        <v>-0.677304804734324</v>
      </c>
      <c r="D18">
        <f t="shared" si="1"/>
        <v>0.252301584690997</v>
      </c>
      <c r="E18">
        <f t="shared" si="2"/>
        <v>0.298457119673232</v>
      </c>
      <c r="F18">
        <f t="shared" si="4"/>
        <v>0.220548914516989</v>
      </c>
      <c r="G18">
        <f t="shared" si="3"/>
        <v>0.163957618497677</v>
      </c>
    </row>
    <row r="19" spans="1:7">
      <c r="A19" s="1">
        <v>38583</v>
      </c>
      <c r="B19">
        <v>1.2183</v>
      </c>
      <c r="C19">
        <f t="shared" si="0"/>
        <v>-0.245942081668116</v>
      </c>
      <c r="D19">
        <f t="shared" si="1"/>
        <v>0.272945606073517</v>
      </c>
      <c r="E19">
        <f t="shared" si="2"/>
        <v>0.304486782418648</v>
      </c>
      <c r="F19">
        <f t="shared" si="4"/>
        <v>-0.538436316196097</v>
      </c>
      <c r="G19">
        <f t="shared" si="3"/>
        <v>-0.495236816126277</v>
      </c>
    </row>
    <row r="20" spans="1:7">
      <c r="A20" s="1">
        <v>38586</v>
      </c>
      <c r="B20">
        <v>1.2231</v>
      </c>
      <c r="C20">
        <f t="shared" si="0"/>
        <v>0.393217513295575</v>
      </c>
      <c r="D20">
        <f t="shared" si="1"/>
        <v>0.25169979621969</v>
      </c>
      <c r="E20">
        <f t="shared" si="2"/>
        <v>0.290241950850292</v>
      </c>
      <c r="F20">
        <f t="shared" si="4"/>
        <v>-0.382607448521987</v>
      </c>
      <c r="G20">
        <f t="shared" si="3"/>
        <v>-0.352156197404603</v>
      </c>
    </row>
    <row r="21" spans="1:7">
      <c r="A21" s="1">
        <v>38587</v>
      </c>
      <c r="B21">
        <v>1.2233</v>
      </c>
      <c r="C21">
        <f t="shared" si="0"/>
        <v>0.016350555955336</v>
      </c>
      <c r="D21">
        <f t="shared" si="1"/>
        <v>0.241991817873957</v>
      </c>
      <c r="E21">
        <f t="shared" si="2"/>
        <v>0.281558434437392</v>
      </c>
      <c r="F21">
        <f t="shared" si="4"/>
        <v>-0.7088733064646</v>
      </c>
      <c r="G21">
        <f t="shared" si="3"/>
        <v>-0.633232883605982</v>
      </c>
    </row>
    <row r="22" spans="1:7">
      <c r="A22" s="1">
        <v>38588</v>
      </c>
      <c r="B22">
        <v>1.2211</v>
      </c>
      <c r="C22">
        <f t="shared" si="0"/>
        <v>-0.180003321389449</v>
      </c>
      <c r="D22">
        <f t="shared" si="1"/>
        <v>0.217819370154566</v>
      </c>
      <c r="E22">
        <f t="shared" si="2"/>
        <v>0.265678295405151</v>
      </c>
      <c r="F22">
        <f t="shared" si="4"/>
        <v>-0.687668272892189</v>
      </c>
      <c r="G22">
        <f t="shared" si="3"/>
        <v>-0.601756307676671</v>
      </c>
    </row>
    <row r="23" spans="1:7">
      <c r="A23" s="1">
        <v>38589</v>
      </c>
      <c r="B23">
        <v>1.2272</v>
      </c>
      <c r="C23">
        <f t="shared" si="0"/>
        <v>0.498305977401553</v>
      </c>
      <c r="D23">
        <f t="shared" si="1"/>
        <v>0.199277552710233</v>
      </c>
      <c r="E23">
        <f t="shared" si="2"/>
        <v>0.252357657466403</v>
      </c>
      <c r="F23">
        <f t="shared" si="4"/>
        <v>-0.18350572156955</v>
      </c>
      <c r="G23">
        <f t="shared" si="3"/>
        <v>-0.196475929504022</v>
      </c>
    </row>
    <row r="24" spans="1:7">
      <c r="A24" s="1">
        <v>38590</v>
      </c>
      <c r="B24">
        <v>1.2307</v>
      </c>
      <c r="C24">
        <f t="shared" si="0"/>
        <v>0.284796156529921</v>
      </c>
      <c r="D24">
        <f t="shared" si="1"/>
        <v>0.204180682150621</v>
      </c>
      <c r="E24">
        <f t="shared" si="2"/>
        <v>0.250631640374125</v>
      </c>
      <c r="F24">
        <f t="shared" si="4"/>
        <v>-0.595754704636222</v>
      </c>
      <c r="G24">
        <f t="shared" si="3"/>
        <v>-0.530076611548227</v>
      </c>
    </row>
    <row r="25" spans="1:7">
      <c r="A25" s="1">
        <v>38593</v>
      </c>
      <c r="B25">
        <v>1.2289</v>
      </c>
      <c r="C25">
        <f t="shared" si="0"/>
        <v>-0.146365288773926</v>
      </c>
      <c r="D25">
        <f t="shared" si="1"/>
        <v>0.191873499012981</v>
      </c>
      <c r="E25">
        <f t="shared" si="2"/>
        <v>0.240649184490388</v>
      </c>
      <c r="F25">
        <f t="shared" si="4"/>
        <v>-0.769634174845064</v>
      </c>
      <c r="G25">
        <f t="shared" si="3"/>
        <v>-0.66769710518549</v>
      </c>
    </row>
    <row r="26" spans="1:7">
      <c r="A26" s="1">
        <v>38594</v>
      </c>
      <c r="B26">
        <v>1.2181</v>
      </c>
      <c r="C26">
        <f t="shared" si="0"/>
        <v>-0.882719258463838</v>
      </c>
      <c r="D26">
        <f t="shared" si="1"/>
        <v>0.17482842888747</v>
      </c>
      <c r="E26">
        <f t="shared" si="2"/>
        <v>0.228281373308859</v>
      </c>
      <c r="F26">
        <f t="shared" si="4"/>
        <v>1.3564762324365</v>
      </c>
      <c r="G26">
        <f t="shared" si="3"/>
        <v>0.968062887683631</v>
      </c>
    </row>
    <row r="27" spans="1:7">
      <c r="A27" s="1">
        <v>38595</v>
      </c>
      <c r="B27">
        <v>1.2198</v>
      </c>
      <c r="C27">
        <f t="shared" si="0"/>
        <v>0.139464315644268</v>
      </c>
      <c r="D27">
        <f t="shared" si="1"/>
        <v>0.235264914925018</v>
      </c>
      <c r="E27">
        <f t="shared" si="2"/>
        <v>0.254544155373475</v>
      </c>
      <c r="F27">
        <f t="shared" si="4"/>
        <v>-0.682184543109319</v>
      </c>
      <c r="G27">
        <f t="shared" si="3"/>
        <v>-0.645934347488871</v>
      </c>
    </row>
    <row r="28" spans="1:7">
      <c r="A28" s="1">
        <v>38596</v>
      </c>
      <c r="B28">
        <v>1.2388</v>
      </c>
      <c r="C28">
        <f t="shared" si="0"/>
        <v>1.54562582366917</v>
      </c>
      <c r="D28">
        <f t="shared" si="1"/>
        <v>0.213683452966328</v>
      </c>
      <c r="E28">
        <f t="shared" si="2"/>
        <v>0.241244020817972</v>
      </c>
      <c r="F28">
        <f t="shared" si="4"/>
        <v>4.81831917392612</v>
      </c>
      <c r="G28">
        <f t="shared" si="3"/>
        <v>4.24036030291899</v>
      </c>
    </row>
    <row r="29" spans="1:7">
      <c r="A29" s="1">
        <v>38597</v>
      </c>
      <c r="B29">
        <v>1.2541</v>
      </c>
      <c r="C29">
        <f t="shared" si="0"/>
        <v>1.22750147309563</v>
      </c>
      <c r="D29">
        <f t="shared" si="1"/>
        <v>0.431211026348995</v>
      </c>
      <c r="E29">
        <f t="shared" si="2"/>
        <v>0.347217338908544</v>
      </c>
      <c r="F29">
        <f t="shared" si="4"/>
        <v>1.32654701110077</v>
      </c>
      <c r="G29">
        <f t="shared" si="3"/>
        <v>1.64086254404397</v>
      </c>
    </row>
    <row r="30" spans="1:7">
      <c r="A30" s="1">
        <v>38600</v>
      </c>
      <c r="B30">
        <v>1.2538</v>
      </c>
      <c r="C30">
        <f t="shared" si="0"/>
        <v>-0.023924399013588</v>
      </c>
      <c r="D30">
        <f t="shared" si="1"/>
        <v>0.53876591035929</v>
      </c>
      <c r="E30">
        <f t="shared" si="2"/>
        <v>0.402722291896628</v>
      </c>
      <c r="F30">
        <f t="shared" si="4"/>
        <v>-0.30870586046228</v>
      </c>
      <c r="G30">
        <f t="shared" si="3"/>
        <v>-0.454043393586916</v>
      </c>
    </row>
    <row r="31" spans="1:7">
      <c r="A31" s="1">
        <v>38601</v>
      </c>
      <c r="B31">
        <v>1.2483</v>
      </c>
      <c r="C31">
        <f t="shared" si="0"/>
        <v>-0.439631418286293</v>
      </c>
      <c r="D31">
        <f t="shared" si="1"/>
        <v>0.484946557010177</v>
      </c>
      <c r="E31">
        <f t="shared" si="2"/>
        <v>0.379587573226238</v>
      </c>
      <c r="F31">
        <f t="shared" si="4"/>
        <v>-0.162582948918973</v>
      </c>
      <c r="G31">
        <f t="shared" si="3"/>
        <v>-0.229748421262474</v>
      </c>
    </row>
    <row r="32" spans="1:7">
      <c r="A32" s="1">
        <v>38602</v>
      </c>
      <c r="B32">
        <v>1.2451</v>
      </c>
      <c r="C32">
        <f t="shared" si="0"/>
        <v>-0.256677769863833</v>
      </c>
      <c r="D32">
        <f t="shared" si="1"/>
        <v>0.455779479703601</v>
      </c>
      <c r="E32">
        <f t="shared" si="2"/>
        <v>0.367476108029885</v>
      </c>
      <c r="F32">
        <f t="shared" si="4"/>
        <v>-0.320597484312879</v>
      </c>
      <c r="G32">
        <f t="shared" si="3"/>
        <v>-0.410905274992668</v>
      </c>
    </row>
    <row r="33" spans="1:7">
      <c r="A33" s="1">
        <v>38603</v>
      </c>
      <c r="B33">
        <v>1.2418</v>
      </c>
      <c r="C33">
        <f t="shared" si="0"/>
        <v>-0.265390802757454</v>
      </c>
      <c r="D33">
        <f t="shared" si="1"/>
        <v>0.416789879487468</v>
      </c>
      <c r="E33">
        <f t="shared" si="2"/>
        <v>0.349721715425205</v>
      </c>
      <c r="F33">
        <f t="shared" si="4"/>
        <v>-0.353092787034308</v>
      </c>
      <c r="G33">
        <f t="shared" si="3"/>
        <v>-0.424611164959072</v>
      </c>
    </row>
    <row r="34" spans="1:7">
      <c r="A34" s="1">
        <v>38604</v>
      </c>
      <c r="B34">
        <v>1.2415</v>
      </c>
      <c r="C34">
        <f t="shared" si="0"/>
        <v>-0.0241613982571094</v>
      </c>
      <c r="D34">
        <f t="shared" si="1"/>
        <v>0.382154119357546</v>
      </c>
      <c r="E34">
        <f t="shared" si="2"/>
        <v>0.333260026409105</v>
      </c>
      <c r="F34">
        <f t="shared" si="4"/>
        <v>-0.480201856115665</v>
      </c>
      <c r="G34">
        <f t="shared" si="3"/>
        <v>-0.548540264446719</v>
      </c>
    </row>
    <row r="35" spans="1:7">
      <c r="A35" s="1">
        <v>38607</v>
      </c>
      <c r="B35">
        <v>1.2313</v>
      </c>
      <c r="C35">
        <f t="shared" si="0"/>
        <v>-0.824980414939552</v>
      </c>
      <c r="D35">
        <f t="shared" si="1"/>
        <v>0.343997084738365</v>
      </c>
      <c r="E35">
        <f t="shared" si="2"/>
        <v>0.314293613482846</v>
      </c>
      <c r="F35">
        <f t="shared" si="4"/>
        <v>0.455680889134559</v>
      </c>
      <c r="G35">
        <f t="shared" si="3"/>
        <v>0.504020049001126</v>
      </c>
    </row>
    <row r="36" spans="1:7">
      <c r="A36" s="1">
        <v>38608</v>
      </c>
      <c r="B36">
        <v>1.2276</v>
      </c>
      <c r="C36">
        <f t="shared" si="0"/>
        <v>-0.300947805324466</v>
      </c>
      <c r="D36">
        <f t="shared" si="1"/>
        <v>0.377656644767912</v>
      </c>
      <c r="E36">
        <f t="shared" si="2"/>
        <v>0.330465630925567</v>
      </c>
      <c r="F36">
        <f t="shared" si="4"/>
        <v>-0.366974968030387</v>
      </c>
      <c r="G36">
        <f t="shared" si="3"/>
        <v>-0.41659302379026</v>
      </c>
    </row>
    <row r="37" spans="1:7">
      <c r="A37" s="1">
        <v>38609</v>
      </c>
      <c r="B37">
        <v>1.2314</v>
      </c>
      <c r="C37">
        <f t="shared" si="0"/>
        <v>0.309068973152857</v>
      </c>
      <c r="D37">
        <f t="shared" si="1"/>
        <v>0.348947938444082</v>
      </c>
      <c r="E37">
        <f t="shared" si="2"/>
        <v>0.316166172146513</v>
      </c>
      <c r="F37">
        <f t="shared" si="4"/>
        <v>-0.389542514424543</v>
      </c>
      <c r="G37">
        <f t="shared" si="3"/>
        <v>-0.424678126267055</v>
      </c>
    </row>
    <row r="38" spans="1:7">
      <c r="A38" s="1">
        <v>38610</v>
      </c>
      <c r="B38">
        <v>1.2223</v>
      </c>
      <c r="C38">
        <f t="shared" si="0"/>
        <v>-0.741740369389273</v>
      </c>
      <c r="D38">
        <f t="shared" si="1"/>
        <v>0.32360550761625</v>
      </c>
      <c r="E38">
        <f t="shared" si="2"/>
        <v>0.302972383326011</v>
      </c>
      <c r="F38">
        <f t="shared" si="4"/>
        <v>0.285961309965301</v>
      </c>
      <c r="G38">
        <f t="shared" si="3"/>
        <v>0.310911713413082</v>
      </c>
    </row>
    <row r="39" spans="1:7">
      <c r="A39" s="1">
        <v>38611</v>
      </c>
      <c r="B39">
        <v>1.2243</v>
      </c>
      <c r="C39">
        <f t="shared" si="0"/>
        <v>0.163492229665261</v>
      </c>
      <c r="D39">
        <f t="shared" si="1"/>
        <v>0.346262834412798</v>
      </c>
      <c r="E39">
        <f t="shared" si="2"/>
        <v>0.313302979105537</v>
      </c>
      <c r="F39">
        <f t="shared" si="4"/>
        <v>-0.491681150328415</v>
      </c>
      <c r="G39">
        <f t="shared" si="3"/>
        <v>-0.537634362428085</v>
      </c>
    </row>
    <row r="40" spans="1:7">
      <c r="A40" s="1">
        <v>38614</v>
      </c>
      <c r="B40">
        <v>1.2139</v>
      </c>
      <c r="C40">
        <f t="shared" si="0"/>
        <v>-0.853093517611166</v>
      </c>
      <c r="D40">
        <f t="shared" si="1"/>
        <v>0.314309521887611</v>
      </c>
      <c r="E40">
        <f t="shared" si="2"/>
        <v>0.29684128581725</v>
      </c>
      <c r="F40">
        <f t="shared" si="4"/>
        <v>0.579037382461146</v>
      </c>
      <c r="G40">
        <f t="shared" si="3"/>
        <v>0.618575827599092</v>
      </c>
    </row>
    <row r="41" spans="1:7">
      <c r="A41" s="1">
        <v>38615</v>
      </c>
      <c r="B41">
        <v>1.2154</v>
      </c>
      <c r="C41">
        <f t="shared" si="0"/>
        <v>0.123492379749684</v>
      </c>
      <c r="D41">
        <f t="shared" si="1"/>
        <v>0.355655424677869</v>
      </c>
      <c r="E41">
        <f t="shared" si="2"/>
        <v>0.316419236157725</v>
      </c>
      <c r="F41">
        <f t="shared" si="4"/>
        <v>-0.495456654788222</v>
      </c>
      <c r="G41">
        <f t="shared" si="3"/>
        <v>-0.551245266314198</v>
      </c>
    </row>
    <row r="42" spans="1:7">
      <c r="A42" s="1">
        <v>38616</v>
      </c>
      <c r="B42">
        <v>1.2225</v>
      </c>
      <c r="C42">
        <f t="shared" si="0"/>
        <v>0.582470164777226</v>
      </c>
      <c r="D42">
        <f t="shared" si="1"/>
        <v>0.321614918995706</v>
      </c>
      <c r="E42">
        <f t="shared" si="2"/>
        <v>0.299196600381074</v>
      </c>
      <c r="F42">
        <f t="shared" si="4"/>
        <v>-0.0397503088662418</v>
      </c>
      <c r="G42">
        <f t="shared" si="3"/>
        <v>-0.0363563623852047</v>
      </c>
    </row>
    <row r="43" spans="1:7">
      <c r="A43" s="1">
        <v>38617</v>
      </c>
      <c r="B43">
        <v>1.2224</v>
      </c>
      <c r="C43">
        <f t="shared" si="0"/>
        <v>-0.00818029367710744</v>
      </c>
      <c r="D43">
        <f t="shared" si="1"/>
        <v>0.323380576381696</v>
      </c>
      <c r="E43">
        <f t="shared" si="2"/>
        <v>0.29920837900099</v>
      </c>
      <c r="F43">
        <f t="shared" si="4"/>
        <v>-0.564359232056931</v>
      </c>
      <c r="G43">
        <f t="shared" si="3"/>
        <v>-0.603195690547914</v>
      </c>
    </row>
    <row r="44" spans="1:7">
      <c r="A44" s="1">
        <v>38618</v>
      </c>
      <c r="B44">
        <v>1.2118</v>
      </c>
      <c r="C44">
        <f t="shared" si="0"/>
        <v>-0.870928190136735</v>
      </c>
      <c r="D44">
        <f t="shared" si="1"/>
        <v>0.291049210463991</v>
      </c>
      <c r="E44">
        <f t="shared" si="2"/>
        <v>0.282259222121162</v>
      </c>
      <c r="F44">
        <f t="shared" si="4"/>
        <v>0.685940126678313</v>
      </c>
      <c r="G44">
        <f t="shared" si="3"/>
        <v>0.711186546994815</v>
      </c>
    </row>
    <row r="45" spans="1:7">
      <c r="A45" s="1">
        <v>38621</v>
      </c>
      <c r="B45">
        <v>1.2031</v>
      </c>
      <c r="C45">
        <f t="shared" si="0"/>
        <v>-0.720529847140979</v>
      </c>
      <c r="D45">
        <f t="shared" si="1"/>
        <v>0.337795880655077</v>
      </c>
      <c r="E45">
        <f t="shared" si="2"/>
        <v>0.304249464412635</v>
      </c>
      <c r="F45">
        <f t="shared" si="4"/>
        <v>0.225800328252863</v>
      </c>
      <c r="G45">
        <f t="shared" si="3"/>
        <v>0.258233157330702</v>
      </c>
    </row>
    <row r="46" spans="1:7">
      <c r="A46" s="1">
        <v>38622</v>
      </c>
      <c r="B46">
        <v>1.2005</v>
      </c>
      <c r="C46">
        <f t="shared" si="0"/>
        <v>-0.216342237817107</v>
      </c>
      <c r="D46">
        <f t="shared" si="1"/>
        <v>0.355932618651669</v>
      </c>
      <c r="E46">
        <f t="shared" si="2"/>
        <v>0.312952659578927</v>
      </c>
      <c r="F46">
        <f t="shared" si="4"/>
        <v>-0.45075857102769</v>
      </c>
      <c r="G46">
        <f t="shared" si="3"/>
        <v>-0.506073648200795</v>
      </c>
    </row>
    <row r="47" spans="1:7">
      <c r="A47" s="1">
        <v>38623</v>
      </c>
      <c r="B47">
        <v>1.2037</v>
      </c>
      <c r="C47">
        <f t="shared" si="0"/>
        <v>0.266200972438125</v>
      </c>
      <c r="D47">
        <f t="shared" si="1"/>
        <v>0.325019753172874</v>
      </c>
      <c r="E47">
        <f t="shared" si="2"/>
        <v>0.297515698197377</v>
      </c>
      <c r="F47">
        <f t="shared" si="4"/>
        <v>-0.452921350507544</v>
      </c>
      <c r="G47">
        <f t="shared" si="3"/>
        <v>-0.487053020312033</v>
      </c>
    </row>
    <row r="48" spans="1:7">
      <c r="A48" s="1">
        <v>38624</v>
      </c>
      <c r="B48">
        <v>1.2063</v>
      </c>
      <c r="C48">
        <f t="shared" si="0"/>
        <v>0.215767718564883</v>
      </c>
      <c r="D48">
        <f t="shared" si="1"/>
        <v>0.299604073628287</v>
      </c>
      <c r="E48">
        <f t="shared" si="2"/>
        <v>0.284207904191885</v>
      </c>
      <c r="F48">
        <f t="shared" si="4"/>
        <v>-0.524951329138425</v>
      </c>
      <c r="G48">
        <f t="shared" si="3"/>
        <v>-0.547120309137058</v>
      </c>
    </row>
    <row r="49" spans="1:7">
      <c r="A49" s="1">
        <v>38625</v>
      </c>
      <c r="B49">
        <v>1.2042</v>
      </c>
      <c r="C49">
        <f t="shared" si="0"/>
        <v>-0.174237754099054</v>
      </c>
      <c r="D49">
        <f t="shared" si="1"/>
        <v>0.274299237102928</v>
      </c>
      <c r="E49">
        <f t="shared" si="2"/>
        <v>0.270483215359106</v>
      </c>
      <c r="F49">
        <f t="shared" si="4"/>
        <v>-0.59142900615727</v>
      </c>
      <c r="G49">
        <f t="shared" si="3"/>
        <v>-0.5976530622795</v>
      </c>
    </row>
    <row r="50" spans="1:7">
      <c r="A50" s="1">
        <v>38628</v>
      </c>
      <c r="B50">
        <v>1.1933</v>
      </c>
      <c r="C50">
        <f t="shared" si="0"/>
        <v>-0.909286765473735</v>
      </c>
      <c r="D50">
        <f t="shared" si="1"/>
        <v>0.249905192887983</v>
      </c>
      <c r="E50">
        <f t="shared" si="2"/>
        <v>0.256772162185234</v>
      </c>
      <c r="F50">
        <f t="shared" si="4"/>
        <v>0.960895344885458</v>
      </c>
      <c r="G50">
        <f t="shared" si="3"/>
        <v>0.930209269232875</v>
      </c>
    </row>
    <row r="51" spans="1:7">
      <c r="A51" s="1">
        <v>38629</v>
      </c>
      <c r="B51">
        <v>1.1938</v>
      </c>
      <c r="C51">
        <f t="shared" si="0"/>
        <v>0.0418918358939495</v>
      </c>
      <c r="D51">
        <f t="shared" si="1"/>
        <v>0.307594915785753</v>
      </c>
      <c r="E51">
        <f t="shared" si="2"/>
        <v>0.283705953547404</v>
      </c>
      <c r="F51">
        <f t="shared" si="4"/>
        <v>-0.586633127526193</v>
      </c>
      <c r="G51">
        <f t="shared" si="3"/>
        <v>-0.626815615442111</v>
      </c>
    </row>
    <row r="52" spans="1:7">
      <c r="A52" s="1">
        <v>38630</v>
      </c>
      <c r="B52">
        <v>1.1947</v>
      </c>
      <c r="C52">
        <f t="shared" si="0"/>
        <v>0.07536110886287</v>
      </c>
      <c r="D52">
        <f t="shared" si="1"/>
        <v>0.277010916798635</v>
      </c>
      <c r="E52">
        <f t="shared" si="2"/>
        <v>0.267771342630288</v>
      </c>
      <c r="F52">
        <f t="shared" si="4"/>
        <v>-0.631598147235647</v>
      </c>
      <c r="G52">
        <f t="shared" si="3"/>
        <v>-0.648206180079798</v>
      </c>
    </row>
    <row r="53" spans="1:7">
      <c r="A53" s="1">
        <v>38631</v>
      </c>
      <c r="B53">
        <v>1.2061</v>
      </c>
      <c r="C53">
        <f t="shared" si="0"/>
        <v>0.949690576601894</v>
      </c>
      <c r="D53">
        <f t="shared" si="1"/>
        <v>0.249877754791675</v>
      </c>
      <c r="E53">
        <f t="shared" si="2"/>
        <v>0.252989026908923</v>
      </c>
      <c r="F53">
        <f t="shared" si="4"/>
        <v>1.11131511886042</v>
      </c>
      <c r="G53">
        <f t="shared" si="3"/>
        <v>1.09530789005211</v>
      </c>
    </row>
    <row r="54" spans="1:7">
      <c r="A54" s="1">
        <v>38632</v>
      </c>
      <c r="B54">
        <v>1.2144</v>
      </c>
      <c r="C54">
        <f t="shared" si="0"/>
        <v>0.685811405216824</v>
      </c>
      <c r="D54">
        <f t="shared" si="1"/>
        <v>0.315081198441152</v>
      </c>
      <c r="E54">
        <f t="shared" si="2"/>
        <v>0.28390529485871</v>
      </c>
      <c r="F54">
        <f t="shared" si="4"/>
        <v>0.168912271311007</v>
      </c>
      <c r="G54">
        <f t="shared" si="3"/>
        <v>0.198777538960476</v>
      </c>
    </row>
    <row r="55" spans="1:7">
      <c r="A55" s="1">
        <v>38635</v>
      </c>
      <c r="B55">
        <v>1.2088</v>
      </c>
      <c r="C55">
        <f t="shared" si="0"/>
        <v>-0.462199568283557</v>
      </c>
      <c r="D55">
        <f t="shared" si="1"/>
        <v>0.330606806949584</v>
      </c>
      <c r="E55">
        <f t="shared" si="2"/>
        <v>0.291387841343461</v>
      </c>
      <c r="F55">
        <f t="shared" si="4"/>
        <v>-0.23032738837436</v>
      </c>
      <c r="G55">
        <f t="shared" si="3"/>
        <v>-0.249979439652844</v>
      </c>
    </row>
    <row r="56" spans="1:7">
      <c r="A56" s="1">
        <v>38636</v>
      </c>
      <c r="B56">
        <v>1.2022</v>
      </c>
      <c r="C56">
        <f t="shared" si="0"/>
        <v>-0.547492035346826</v>
      </c>
      <c r="D56">
        <f t="shared" si="1"/>
        <v>0.318908970346776</v>
      </c>
      <c r="E56">
        <f t="shared" si="2"/>
        <v>0.285585992908928</v>
      </c>
      <c r="F56">
        <f t="shared" si="4"/>
        <v>-0.101466968476165</v>
      </c>
      <c r="G56">
        <f t="shared" si="3"/>
        <v>-0.101812226283344</v>
      </c>
    </row>
    <row r="57" spans="1:7">
      <c r="A57" s="1">
        <v>38637</v>
      </c>
      <c r="B57">
        <v>1.2008</v>
      </c>
      <c r="C57">
        <f t="shared" si="0"/>
        <v>-0.116521028580929</v>
      </c>
      <c r="D57">
        <f t="shared" si="1"/>
        <v>0.316992826188919</v>
      </c>
      <c r="E57">
        <f t="shared" si="2"/>
        <v>0.284438209772803</v>
      </c>
      <c r="F57">
        <f t="shared" si="4"/>
        <v>-0.55302251994755</v>
      </c>
      <c r="G57">
        <f t="shared" si="3"/>
        <v>-0.604753011636718</v>
      </c>
    </row>
    <row r="58" spans="1:7">
      <c r="A58" s="1">
        <v>38638</v>
      </c>
      <c r="B58">
        <v>1.198</v>
      </c>
      <c r="C58">
        <f t="shared" si="0"/>
        <v>-0.233450164385768</v>
      </c>
      <c r="D58">
        <f t="shared" si="1"/>
        <v>0.286651258580183</v>
      </c>
      <c r="E58">
        <f t="shared" si="2"/>
        <v>0.269050774691513</v>
      </c>
      <c r="F58">
        <f t="shared" si="4"/>
        <v>-0.529682995860967</v>
      </c>
      <c r="G58">
        <f t="shared" si="3"/>
        <v>-0.555147480879477</v>
      </c>
    </row>
    <row r="59" spans="1:7">
      <c r="A59" s="1">
        <v>38639</v>
      </c>
      <c r="B59">
        <v>1.1999</v>
      </c>
      <c r="C59">
        <f t="shared" si="0"/>
        <v>0.158472029494857</v>
      </c>
      <c r="D59">
        <f t="shared" si="1"/>
        <v>0.263436030647339</v>
      </c>
      <c r="E59">
        <f t="shared" si="2"/>
        <v>0.256632677172609</v>
      </c>
      <c r="F59">
        <f t="shared" si="4"/>
        <v>-0.619307302334378</v>
      </c>
      <c r="G59">
        <f t="shared" si="3"/>
        <v>-0.631126087749401</v>
      </c>
    </row>
    <row r="60" spans="1:7">
      <c r="A60" s="1">
        <v>38642</v>
      </c>
      <c r="B60">
        <v>1.2022</v>
      </c>
      <c r="C60">
        <f t="shared" si="0"/>
        <v>0.191499163471853</v>
      </c>
      <c r="D60">
        <f t="shared" si="1"/>
        <v>0.239603765995827</v>
      </c>
      <c r="E60">
        <f t="shared" si="2"/>
        <v>0.243490385748863</v>
      </c>
      <c r="F60">
        <f t="shared" si="4"/>
        <v>-0.637858151316207</v>
      </c>
      <c r="G60">
        <f t="shared" si="3"/>
        <v>-0.631034233598073</v>
      </c>
    </row>
    <row r="61" spans="1:7">
      <c r="A61" s="1">
        <v>38643</v>
      </c>
      <c r="B61">
        <v>1.1937</v>
      </c>
      <c r="C61">
        <f t="shared" si="0"/>
        <v>-0.709548450406895</v>
      </c>
      <c r="D61">
        <f t="shared" si="1"/>
        <v>0.219310582357286</v>
      </c>
      <c r="E61">
        <f t="shared" si="2"/>
        <v>0.231714559084453</v>
      </c>
      <c r="F61">
        <f t="shared" si="4"/>
        <v>0.389188771788347</v>
      </c>
      <c r="G61">
        <f t="shared" si="3"/>
        <v>0.355253072292056</v>
      </c>
    </row>
    <row r="62" spans="1:7">
      <c r="A62" s="1">
        <v>38644</v>
      </c>
      <c r="B62">
        <v>1.195</v>
      </c>
      <c r="C62">
        <f t="shared" si="0"/>
        <v>0.108845826461843</v>
      </c>
      <c r="D62">
        <f t="shared" si="1"/>
        <v>0.24772542446904</v>
      </c>
      <c r="E62">
        <f t="shared" si="2"/>
        <v>0.243984635713127</v>
      </c>
      <c r="F62">
        <f t="shared" si="4"/>
        <v>-0.673804762759681</v>
      </c>
      <c r="G62">
        <f t="shared" si="3"/>
        <v>-0.681045995641432</v>
      </c>
    </row>
    <row r="63" spans="1:7">
      <c r="A63" s="1">
        <v>38645</v>
      </c>
      <c r="B63">
        <v>1.1953</v>
      </c>
      <c r="C63">
        <f t="shared" si="0"/>
        <v>0.0251014518324248</v>
      </c>
      <c r="D63">
        <f t="shared" si="1"/>
        <v>0.224137623415953</v>
      </c>
      <c r="E63">
        <f t="shared" si="2"/>
        <v>0.230937928267247</v>
      </c>
      <c r="F63">
        <f t="shared" si="4"/>
        <v>-0.74634194132911</v>
      </c>
      <c r="G63">
        <f t="shared" si="3"/>
        <v>-0.73143897435017</v>
      </c>
    </row>
    <row r="64" spans="1:7">
      <c r="A64" s="1">
        <v>38646</v>
      </c>
      <c r="B64">
        <v>1.2012</v>
      </c>
      <c r="C64">
        <f t="shared" si="0"/>
        <v>0.492385722523985</v>
      </c>
      <c r="D64">
        <f t="shared" si="1"/>
        <v>0.201786869362767</v>
      </c>
      <c r="E64">
        <f t="shared" si="2"/>
        <v>0.218113156715417</v>
      </c>
      <c r="F64">
        <f t="shared" si="4"/>
        <v>-0.199529608494933</v>
      </c>
      <c r="G64">
        <f t="shared" si="3"/>
        <v>-0.205595594918883</v>
      </c>
    </row>
    <row r="65" spans="1:7">
      <c r="A65" s="1">
        <v>38649</v>
      </c>
      <c r="B65">
        <v>1.1944</v>
      </c>
      <c r="C65">
        <f t="shared" si="0"/>
        <v>-0.567708988419472</v>
      </c>
      <c r="D65">
        <f t="shared" si="1"/>
        <v>0.205852552401037</v>
      </c>
      <c r="E65">
        <f t="shared" si="2"/>
        <v>0.218148552299765</v>
      </c>
      <c r="F65">
        <f t="shared" si="4"/>
        <v>-0.00747148035700185</v>
      </c>
      <c r="G65">
        <f t="shared" si="3"/>
        <v>-0.0225876183906057</v>
      </c>
    </row>
    <row r="66" spans="1:7">
      <c r="A66" s="1">
        <v>38650</v>
      </c>
      <c r="B66">
        <v>1.2017</v>
      </c>
      <c r="C66">
        <f t="shared" si="0"/>
        <v>0.609325369227351</v>
      </c>
      <c r="D66">
        <f t="shared" si="1"/>
        <v>0.217496646714159</v>
      </c>
      <c r="E66">
        <f t="shared" si="2"/>
        <v>0.222174313938393</v>
      </c>
      <c r="F66">
        <f t="shared" si="4"/>
        <v>0.0907385133484085</v>
      </c>
      <c r="G66">
        <f t="shared" si="3"/>
        <v>0.0834077937921816</v>
      </c>
    </row>
    <row r="67" spans="1:7">
      <c r="A67" s="1">
        <v>38651</v>
      </c>
      <c r="B67">
        <v>1.2059</v>
      </c>
      <c r="C67">
        <f t="shared" si="0"/>
        <v>0.348895519229281</v>
      </c>
      <c r="D67">
        <f t="shared" si="1"/>
        <v>0.232874722601148</v>
      </c>
      <c r="E67">
        <f t="shared" si="2"/>
        <v>0.228407725381291</v>
      </c>
      <c r="F67">
        <f t="shared" si="4"/>
        <v>-0.467267732134965</v>
      </c>
      <c r="G67">
        <f t="shared" si="3"/>
        <v>-0.471840459688791</v>
      </c>
    </row>
    <row r="68" spans="1:7">
      <c r="A68" s="1">
        <v>38652</v>
      </c>
      <c r="B68">
        <v>1.213</v>
      </c>
      <c r="C68">
        <f t="shared" ref="C68:C131" si="5">100*LN(B68/B67)</f>
        <v>0.587045383450336</v>
      </c>
      <c r="D68">
        <f t="shared" si="1"/>
        <v>0.22176005867486</v>
      </c>
      <c r="E68">
        <f t="shared" si="2"/>
        <v>0.221789666025327</v>
      </c>
      <c r="F68">
        <f t="shared" si="4"/>
        <v>0.0239364741973347</v>
      </c>
      <c r="G68">
        <f t="shared" si="3"/>
        <v>0.0238994989612181</v>
      </c>
    </row>
    <row r="69" spans="1:7">
      <c r="A69" s="1">
        <v>38653</v>
      </c>
      <c r="B69">
        <v>1.2138</v>
      </c>
      <c r="C69">
        <f t="shared" si="5"/>
        <v>0.0659304457704663</v>
      </c>
      <c r="D69">
        <f t="shared" ref="D69:D132" si="6">$J$1*D68+(1-$J$1)*C68^2</f>
        <v>0.234046281030409</v>
      </c>
      <c r="E69">
        <f t="shared" ref="E69:E132" si="7">$K$1+$K$2*C68^2+$K$3*E68</f>
        <v>0.226713400175325</v>
      </c>
      <c r="F69">
        <f t="shared" si="4"/>
        <v>-0.716831952368929</v>
      </c>
      <c r="G69">
        <f t="shared" ref="G69:G132" si="8">0.5*(LN(E69)+C69^2/E69)</f>
        <v>-0.732447701637691</v>
      </c>
    </row>
    <row r="70" spans="1:7">
      <c r="A70" s="1">
        <v>38656</v>
      </c>
      <c r="B70">
        <v>1.2023</v>
      </c>
      <c r="C70">
        <f t="shared" si="5"/>
        <v>-0.951954542089141</v>
      </c>
      <c r="D70">
        <f t="shared" si="6"/>
        <v>0.211076335295318</v>
      </c>
      <c r="E70">
        <f t="shared" si="7"/>
        <v>0.21432793734878</v>
      </c>
      <c r="F70">
        <f t="shared" si="4"/>
        <v>1.36889038491136</v>
      </c>
      <c r="G70">
        <f t="shared" si="8"/>
        <v>1.34396681162455</v>
      </c>
    </row>
    <row r="71" spans="1:7">
      <c r="A71" s="1">
        <v>38657</v>
      </c>
      <c r="B71">
        <v>1.2008</v>
      </c>
      <c r="C71">
        <f t="shared" si="5"/>
        <v>-0.124838766161112</v>
      </c>
      <c r="D71">
        <f t="shared" si="6"/>
        <v>0.2805904467862</v>
      </c>
      <c r="E71">
        <f t="shared" si="7"/>
        <v>0.247779133618061</v>
      </c>
      <c r="F71">
        <f t="shared" ref="F71:F134" si="9">0.5*(LN(D71)+C71^2/D71)</f>
        <v>-0.607658288425328</v>
      </c>
      <c r="G71">
        <f t="shared" si="8"/>
        <v>-0.666159950450775</v>
      </c>
    </row>
    <row r="72" spans="1:7">
      <c r="A72" s="1">
        <v>38658</v>
      </c>
      <c r="B72">
        <v>1.1992</v>
      </c>
      <c r="C72">
        <f t="shared" si="5"/>
        <v>-0.133333353086433</v>
      </c>
      <c r="D72">
        <f t="shared" si="6"/>
        <v>0.254089873861243</v>
      </c>
      <c r="E72">
        <f t="shared" si="7"/>
        <v>0.234691621477809</v>
      </c>
      <c r="F72">
        <f t="shared" si="9"/>
        <v>-0.650050362577944</v>
      </c>
      <c r="G72">
        <f t="shared" si="8"/>
        <v>-0.686866666369459</v>
      </c>
    </row>
    <row r="73" spans="1:7">
      <c r="A73" s="1">
        <v>38659</v>
      </c>
      <c r="B73">
        <v>1.2041</v>
      </c>
      <c r="C73">
        <f t="shared" si="5"/>
        <v>0.407773210978541</v>
      </c>
      <c r="D73">
        <f t="shared" si="6"/>
        <v>0.230458664779646</v>
      </c>
      <c r="E73">
        <f t="shared" si="7"/>
        <v>0.222499013341404</v>
      </c>
      <c r="F73">
        <f t="shared" si="9"/>
        <v>-0.373085230884695</v>
      </c>
      <c r="G73">
        <f t="shared" si="8"/>
        <v>-0.377753993664931</v>
      </c>
    </row>
    <row r="74" spans="1:7">
      <c r="A74" s="1">
        <v>38660</v>
      </c>
      <c r="B74">
        <v>1.1933</v>
      </c>
      <c r="C74">
        <f t="shared" si="5"/>
        <v>-0.900982152256325</v>
      </c>
      <c r="D74">
        <f t="shared" si="6"/>
        <v>0.224040697460857</v>
      </c>
      <c r="E74">
        <f t="shared" si="7"/>
        <v>0.218463022120507</v>
      </c>
      <c r="F74">
        <f t="shared" si="9"/>
        <v>1.06369108496957</v>
      </c>
      <c r="G74">
        <f t="shared" si="8"/>
        <v>1.09733976307954</v>
      </c>
    </row>
    <row r="75" spans="1:7">
      <c r="A75" s="1">
        <v>38663</v>
      </c>
      <c r="B75">
        <v>1.1824</v>
      </c>
      <c r="C75">
        <f t="shared" si="5"/>
        <v>-0.917630718167286</v>
      </c>
      <c r="D75">
        <f t="shared" si="6"/>
        <v>0.282813511583215</v>
      </c>
      <c r="E75">
        <f t="shared" si="7"/>
        <v>0.246943682727498</v>
      </c>
      <c r="F75">
        <f t="shared" si="9"/>
        <v>0.857211240057721</v>
      </c>
      <c r="G75">
        <f t="shared" si="8"/>
        <v>1.00563807917139</v>
      </c>
    </row>
    <row r="76" spans="1:7">
      <c r="A76" s="1">
        <v>38664</v>
      </c>
      <c r="B76">
        <v>1.1741</v>
      </c>
      <c r="C76">
        <f t="shared" si="5"/>
        <v>-0.704437455777111</v>
      </c>
      <c r="D76">
        <f t="shared" si="6"/>
        <v>0.338736773917314</v>
      </c>
      <c r="E76">
        <f t="shared" si="7"/>
        <v>0.275229368510059</v>
      </c>
      <c r="F76">
        <f t="shared" si="9"/>
        <v>0.191208569924926</v>
      </c>
      <c r="G76">
        <f t="shared" si="8"/>
        <v>0.256413101958769</v>
      </c>
    </row>
    <row r="77" spans="1:7">
      <c r="A77" s="1">
        <v>38665</v>
      </c>
      <c r="B77">
        <v>1.1738</v>
      </c>
      <c r="C77">
        <f t="shared" si="5"/>
        <v>-0.0255547511931995</v>
      </c>
      <c r="D77">
        <f t="shared" si="6"/>
        <v>0.354486309435756</v>
      </c>
      <c r="E77">
        <f t="shared" si="7"/>
        <v>0.284527212854542</v>
      </c>
      <c r="F77">
        <f t="shared" si="9"/>
        <v>-0.517621661566892</v>
      </c>
      <c r="G77">
        <f t="shared" si="8"/>
        <v>-0.627315591964641</v>
      </c>
    </row>
    <row r="78" spans="1:7">
      <c r="A78" s="1">
        <v>38666</v>
      </c>
      <c r="B78">
        <v>1.1762</v>
      </c>
      <c r="C78">
        <f t="shared" si="5"/>
        <v>0.204255390162151</v>
      </c>
      <c r="D78">
        <f t="shared" si="6"/>
        <v>0.319102983023035</v>
      </c>
      <c r="E78">
        <f t="shared" si="7"/>
        <v>0.268488232348697</v>
      </c>
      <c r="F78">
        <f t="shared" si="9"/>
        <v>-0.50574953860887</v>
      </c>
      <c r="G78">
        <f t="shared" si="8"/>
        <v>-0.579779323911214</v>
      </c>
    </row>
    <row r="79" spans="1:7">
      <c r="A79" s="1">
        <v>38667</v>
      </c>
      <c r="B79">
        <v>1.1697</v>
      </c>
      <c r="C79">
        <f t="shared" si="5"/>
        <v>-0.554159736919424</v>
      </c>
      <c r="D79">
        <f t="shared" si="6"/>
        <v>0.291364711161761</v>
      </c>
      <c r="E79">
        <f t="shared" si="7"/>
        <v>0.255464951628289</v>
      </c>
      <c r="F79">
        <f t="shared" si="9"/>
        <v>-0.0895989990107561</v>
      </c>
      <c r="G79">
        <f t="shared" si="8"/>
        <v>-0.081287775761653</v>
      </c>
    </row>
    <row r="80" spans="1:7">
      <c r="A80" s="1">
        <v>38670</v>
      </c>
      <c r="B80">
        <v>1.1713</v>
      </c>
      <c r="C80">
        <f t="shared" si="5"/>
        <v>0.136693741916763</v>
      </c>
      <c r="D80">
        <f t="shared" si="6"/>
        <v>0.292937541447845</v>
      </c>
      <c r="E80">
        <f t="shared" si="7"/>
        <v>0.256491705231722</v>
      </c>
      <c r="F80">
        <f t="shared" si="9"/>
        <v>-0.582005161225837</v>
      </c>
      <c r="G80">
        <f t="shared" si="8"/>
        <v>-0.643904947647915</v>
      </c>
    </row>
    <row r="81" spans="1:7">
      <c r="A81" s="1">
        <v>38671</v>
      </c>
      <c r="B81">
        <v>1.1667</v>
      </c>
      <c r="C81">
        <f t="shared" si="5"/>
        <v>-0.393499224601757</v>
      </c>
      <c r="D81">
        <f t="shared" si="6"/>
        <v>0.265512305210981</v>
      </c>
      <c r="E81">
        <f t="shared" si="7"/>
        <v>0.243036461871779</v>
      </c>
      <c r="F81">
        <f t="shared" si="9"/>
        <v>-0.371456719099165</v>
      </c>
      <c r="G81">
        <f t="shared" si="8"/>
        <v>-0.38871550100263</v>
      </c>
    </row>
    <row r="82" spans="1:7">
      <c r="A82" s="1">
        <v>38672</v>
      </c>
      <c r="B82">
        <v>1.1677</v>
      </c>
      <c r="C82">
        <f t="shared" si="5"/>
        <v>0.0856751251857871</v>
      </c>
      <c r="D82">
        <f t="shared" si="6"/>
        <v>0.254445238666101</v>
      </c>
      <c r="E82">
        <f t="shared" si="7"/>
        <v>0.237196356147582</v>
      </c>
      <c r="F82">
        <f t="shared" si="9"/>
        <v>-0.669910837208385</v>
      </c>
      <c r="G82">
        <f t="shared" si="8"/>
        <v>-0.703960595227215</v>
      </c>
    </row>
    <row r="83" spans="1:7">
      <c r="A83" s="1">
        <v>38673</v>
      </c>
      <c r="B83">
        <v>1.1692</v>
      </c>
      <c r="C83">
        <f t="shared" si="5"/>
        <v>0.128375215542164</v>
      </c>
      <c r="D83">
        <f t="shared" si="6"/>
        <v>0.229734737507051</v>
      </c>
      <c r="E83">
        <f t="shared" si="7"/>
        <v>0.224331586132507</v>
      </c>
      <c r="F83">
        <f t="shared" si="9"/>
        <v>-0.699547095473595</v>
      </c>
      <c r="G83">
        <f t="shared" si="8"/>
        <v>-0.710583235391797</v>
      </c>
    </row>
    <row r="84" spans="1:7">
      <c r="A84" s="1">
        <v>38674</v>
      </c>
      <c r="B84">
        <v>1.1679</v>
      </c>
      <c r="C84">
        <f t="shared" si="5"/>
        <v>-0.11124899525712</v>
      </c>
      <c r="D84">
        <f t="shared" si="6"/>
        <v>0.208409283352896</v>
      </c>
      <c r="E84">
        <f t="shared" si="7"/>
        <v>0.212695700762831</v>
      </c>
      <c r="F84">
        <f t="shared" si="9"/>
        <v>-0.754433323318242</v>
      </c>
      <c r="G84">
        <f t="shared" si="8"/>
        <v>-0.744852381281384</v>
      </c>
    </row>
    <row r="85" spans="1:7">
      <c r="A85" s="1">
        <v>38677</v>
      </c>
      <c r="B85">
        <v>1.1811</v>
      </c>
      <c r="C85">
        <f t="shared" si="5"/>
        <v>1.12389433332819</v>
      </c>
      <c r="D85">
        <f t="shared" si="6"/>
        <v>0.188805988912178</v>
      </c>
      <c r="E85">
        <f t="shared" si="7"/>
        <v>0.201552775664347</v>
      </c>
      <c r="F85">
        <f t="shared" si="9"/>
        <v>2.51155227826588</v>
      </c>
      <c r="G85">
        <f t="shared" si="8"/>
        <v>2.33266592033504</v>
      </c>
    </row>
    <row r="86" spans="1:7">
      <c r="A86" s="1">
        <v>38678</v>
      </c>
      <c r="B86">
        <v>1.1701</v>
      </c>
      <c r="C86">
        <f t="shared" si="5"/>
        <v>-0.935699239288938</v>
      </c>
      <c r="D86">
        <f t="shared" si="6"/>
        <v>0.296239237269681</v>
      </c>
      <c r="E86">
        <f t="shared" si="7"/>
        <v>0.253616532748847</v>
      </c>
      <c r="F86">
        <f t="shared" si="9"/>
        <v>0.869452666914005</v>
      </c>
      <c r="G86">
        <f t="shared" si="8"/>
        <v>1.04013026592685</v>
      </c>
    </row>
    <row r="87" spans="1:7">
      <c r="A87" s="1">
        <v>38679</v>
      </c>
      <c r="B87">
        <v>1.1776</v>
      </c>
      <c r="C87">
        <f t="shared" si="5"/>
        <v>0.638925374969964</v>
      </c>
      <c r="D87">
        <f t="shared" si="6"/>
        <v>0.354168620183303</v>
      </c>
      <c r="E87">
        <f t="shared" si="7"/>
        <v>0.283176194104211</v>
      </c>
      <c r="F87">
        <f t="shared" si="9"/>
        <v>0.0573242888449217</v>
      </c>
      <c r="G87">
        <f t="shared" si="8"/>
        <v>0.0899549495497017</v>
      </c>
    </row>
    <row r="88" spans="1:7">
      <c r="A88" s="1">
        <v>38680</v>
      </c>
      <c r="B88">
        <v>1.1783</v>
      </c>
      <c r="C88">
        <f t="shared" si="5"/>
        <v>0.0594252744683092</v>
      </c>
      <c r="D88">
        <f t="shared" si="6"/>
        <v>0.359574321643023</v>
      </c>
      <c r="E88">
        <f t="shared" si="7"/>
        <v>0.287596904196984</v>
      </c>
      <c r="F88">
        <f t="shared" si="9"/>
        <v>-0.506506716004097</v>
      </c>
      <c r="G88">
        <f t="shared" si="8"/>
        <v>-0.616958276778159</v>
      </c>
    </row>
    <row r="89" spans="1:7">
      <c r="A89" s="1">
        <v>38681</v>
      </c>
      <c r="B89">
        <v>1.1763</v>
      </c>
      <c r="C89">
        <f t="shared" si="5"/>
        <v>-0.169880275289941</v>
      </c>
      <c r="D89">
        <f t="shared" si="6"/>
        <v>0.323970025803284</v>
      </c>
      <c r="E89">
        <f t="shared" si="7"/>
        <v>0.271517658107446</v>
      </c>
      <c r="F89">
        <f t="shared" si="9"/>
        <v>-0.519012050644137</v>
      </c>
      <c r="G89">
        <f t="shared" si="8"/>
        <v>-0.598719611046522</v>
      </c>
    </row>
    <row r="90" spans="1:7">
      <c r="A90" s="1">
        <v>38684</v>
      </c>
      <c r="B90">
        <v>1.1726</v>
      </c>
      <c r="C90">
        <f t="shared" si="5"/>
        <v>-0.315041343628076</v>
      </c>
      <c r="D90">
        <f t="shared" si="6"/>
        <v>0.294458954016215</v>
      </c>
      <c r="E90">
        <f t="shared" si="7"/>
        <v>0.257669564017629</v>
      </c>
      <c r="F90">
        <f t="shared" si="9"/>
        <v>-0.442776619423615</v>
      </c>
      <c r="G90">
        <f t="shared" si="8"/>
        <v>-0.485444978470331</v>
      </c>
    </row>
    <row r="91" spans="1:7">
      <c r="A91" s="1">
        <v>38685</v>
      </c>
      <c r="B91">
        <v>1.1793</v>
      </c>
      <c r="C91">
        <f t="shared" si="5"/>
        <v>0.569753656580965</v>
      </c>
      <c r="D91">
        <f t="shared" si="6"/>
        <v>0.274938163434091</v>
      </c>
      <c r="E91">
        <f t="shared" si="7"/>
        <v>0.24817194258632</v>
      </c>
      <c r="F91">
        <f t="shared" si="9"/>
        <v>-0.0552550069433411</v>
      </c>
      <c r="G91">
        <f t="shared" si="8"/>
        <v>-0.0427959193578352</v>
      </c>
    </row>
    <row r="92" spans="1:7">
      <c r="A92" s="1">
        <v>38686</v>
      </c>
      <c r="B92">
        <v>1.1769</v>
      </c>
      <c r="C92">
        <f t="shared" si="5"/>
        <v>-0.203717921230768</v>
      </c>
      <c r="D92">
        <f t="shared" si="6"/>
        <v>0.27990627000942</v>
      </c>
      <c r="E92">
        <f t="shared" si="7"/>
        <v>0.25051258749051</v>
      </c>
      <c r="F92">
        <f t="shared" si="9"/>
        <v>-0.562516511377891</v>
      </c>
      <c r="G92">
        <f t="shared" si="8"/>
        <v>-0.609290907158557</v>
      </c>
    </row>
    <row r="93" spans="1:7">
      <c r="A93" s="1">
        <v>38687</v>
      </c>
      <c r="B93">
        <v>1.1745</v>
      </c>
      <c r="C93">
        <f t="shared" si="5"/>
        <v>-0.204133778464909</v>
      </c>
      <c r="D93">
        <f t="shared" si="6"/>
        <v>0.256065742151537</v>
      </c>
      <c r="E93">
        <f t="shared" si="7"/>
        <v>0.238556881812609</v>
      </c>
      <c r="F93">
        <f t="shared" si="9"/>
        <v>-0.599793536900991</v>
      </c>
      <c r="G93">
        <f t="shared" si="8"/>
        <v>-0.629234832232328</v>
      </c>
    </row>
    <row r="94" spans="1:7">
      <c r="A94" s="1">
        <v>38688</v>
      </c>
      <c r="B94">
        <v>1.1697</v>
      </c>
      <c r="C94">
        <f t="shared" si="5"/>
        <v>-0.409521944230624</v>
      </c>
      <c r="D94">
        <f t="shared" si="6"/>
        <v>0.234626227887419</v>
      </c>
      <c r="E94">
        <f t="shared" si="7"/>
        <v>0.22732699887937</v>
      </c>
      <c r="F94">
        <f t="shared" si="9"/>
        <v>-0.367486326485593</v>
      </c>
      <c r="G94">
        <f t="shared" si="8"/>
        <v>-0.37181288134543</v>
      </c>
    </row>
    <row r="95" spans="1:7">
      <c r="A95" s="1">
        <v>38691</v>
      </c>
      <c r="B95">
        <v>1.1767</v>
      </c>
      <c r="C95">
        <f t="shared" si="5"/>
        <v>0.596660481322192</v>
      </c>
      <c r="D95">
        <f t="shared" si="6"/>
        <v>0.22793442737932</v>
      </c>
      <c r="E95">
        <f t="shared" si="7"/>
        <v>0.223072790086929</v>
      </c>
      <c r="F95">
        <f t="shared" si="9"/>
        <v>0.0415858850021324</v>
      </c>
      <c r="G95">
        <f t="shared" si="8"/>
        <v>0.0478256046992497</v>
      </c>
    </row>
    <row r="96" spans="1:7">
      <c r="A96" s="1">
        <v>38692</v>
      </c>
      <c r="B96">
        <v>1.1783</v>
      </c>
      <c r="C96">
        <f t="shared" si="5"/>
        <v>0.13588112494117</v>
      </c>
      <c r="D96">
        <f t="shared" si="6"/>
        <v>0.240741357638551</v>
      </c>
      <c r="E96">
        <f t="shared" si="7"/>
        <v>0.228488609180295</v>
      </c>
      <c r="F96">
        <f t="shared" si="9"/>
        <v>-0.673668518252896</v>
      </c>
      <c r="G96">
        <f t="shared" si="8"/>
        <v>-0.697730520145302</v>
      </c>
    </row>
    <row r="97" spans="1:7">
      <c r="A97" s="1">
        <v>38693</v>
      </c>
      <c r="B97">
        <v>1.171</v>
      </c>
      <c r="C97">
        <f t="shared" si="5"/>
        <v>-0.62146371215776</v>
      </c>
      <c r="D97">
        <f t="shared" si="6"/>
        <v>0.218513589886224</v>
      </c>
      <c r="E97">
        <f t="shared" si="7"/>
        <v>0.216702476635241</v>
      </c>
      <c r="F97">
        <f t="shared" si="9"/>
        <v>0.123283594821217</v>
      </c>
      <c r="G97">
        <f t="shared" si="8"/>
        <v>0.126508083069134</v>
      </c>
    </row>
    <row r="98" spans="1:7">
      <c r="A98" s="1">
        <v>38694</v>
      </c>
      <c r="B98">
        <v>1.1764</v>
      </c>
      <c r="C98">
        <f t="shared" si="5"/>
        <v>0.460084308212256</v>
      </c>
      <c r="D98">
        <f t="shared" si="6"/>
        <v>0.235283945450492</v>
      </c>
      <c r="E98">
        <f t="shared" si="7"/>
        <v>0.224011185313572</v>
      </c>
      <c r="F98">
        <f t="shared" si="9"/>
        <v>-0.273646823032172</v>
      </c>
      <c r="G98">
        <f t="shared" si="8"/>
        <v>-0.275558662167951</v>
      </c>
    </row>
    <row r="99" spans="1:7">
      <c r="A99" s="1">
        <v>38695</v>
      </c>
      <c r="B99">
        <v>1.1785</v>
      </c>
      <c r="C99">
        <f t="shared" si="5"/>
        <v>0.1783515696346</v>
      </c>
      <c r="D99">
        <f t="shared" si="6"/>
        <v>0.232923307971758</v>
      </c>
      <c r="E99">
        <f t="shared" si="7"/>
        <v>0.222154392727915</v>
      </c>
      <c r="F99">
        <f t="shared" si="9"/>
        <v>-0.660240277039032</v>
      </c>
      <c r="G99">
        <f t="shared" si="8"/>
        <v>-0.680598600220377</v>
      </c>
    </row>
    <row r="100" spans="1:7">
      <c r="A100" s="1">
        <v>38698</v>
      </c>
      <c r="B100">
        <v>1.1925</v>
      </c>
      <c r="C100">
        <f t="shared" si="5"/>
        <v>1.18095003863103</v>
      </c>
      <c r="D100">
        <f t="shared" si="6"/>
        <v>0.212811905413694</v>
      </c>
      <c r="E100">
        <f t="shared" si="7"/>
        <v>0.211415593283796</v>
      </c>
      <c r="F100">
        <f t="shared" si="9"/>
        <v>2.5030301250602</v>
      </c>
      <c r="G100">
        <f t="shared" si="8"/>
        <v>2.52137995446952</v>
      </c>
    </row>
    <row r="101" spans="1:7">
      <c r="A101" s="1">
        <v>38699</v>
      </c>
      <c r="B101">
        <v>1.1925</v>
      </c>
      <c r="C101">
        <f t="shared" si="5"/>
        <v>0</v>
      </c>
      <c r="D101">
        <f t="shared" si="6"/>
        <v>0.330995014246589</v>
      </c>
      <c r="E101">
        <f t="shared" si="7"/>
        <v>0.269462807373901</v>
      </c>
      <c r="F101">
        <f t="shared" si="9"/>
        <v>-0.552825983208822</v>
      </c>
      <c r="G101">
        <f t="shared" si="8"/>
        <v>-0.655662452095279</v>
      </c>
    </row>
    <row r="102" spans="1:7">
      <c r="A102" s="1">
        <v>38700</v>
      </c>
      <c r="B102">
        <v>1.202</v>
      </c>
      <c r="C102">
        <f t="shared" si="5"/>
        <v>0.793489233265668</v>
      </c>
      <c r="D102">
        <f t="shared" si="6"/>
        <v>0.29789551282193</v>
      </c>
      <c r="E102">
        <f t="shared" si="7"/>
        <v>0.254295038931467</v>
      </c>
      <c r="F102">
        <f t="shared" si="9"/>
        <v>0.451282357998501</v>
      </c>
      <c r="G102">
        <f t="shared" si="8"/>
        <v>0.553351552041155</v>
      </c>
    </row>
    <row r="103" spans="1:7">
      <c r="A103" s="1">
        <v>38701</v>
      </c>
      <c r="B103">
        <v>1.1999</v>
      </c>
      <c r="C103">
        <f t="shared" si="5"/>
        <v>-0.174861612480966</v>
      </c>
      <c r="D103">
        <f t="shared" si="6"/>
        <v>0.331068477870591</v>
      </c>
      <c r="E103">
        <f t="shared" si="7"/>
        <v>0.271518594761006</v>
      </c>
      <c r="F103">
        <f t="shared" si="9"/>
        <v>-0.506536382500644</v>
      </c>
      <c r="G103">
        <f t="shared" si="8"/>
        <v>-0.595555715977593</v>
      </c>
    </row>
    <row r="104" spans="1:7">
      <c r="A104" s="1">
        <v>38702</v>
      </c>
      <c r="B104">
        <v>1.1983</v>
      </c>
      <c r="C104">
        <f t="shared" si="5"/>
        <v>-0.133433428187234</v>
      </c>
      <c r="D104">
        <f t="shared" si="6"/>
        <v>0.301019288435476</v>
      </c>
      <c r="E104">
        <f t="shared" si="7"/>
        <v>0.257756308251317</v>
      </c>
      <c r="F104">
        <f t="shared" si="9"/>
        <v>-0.570716814896854</v>
      </c>
      <c r="G104">
        <f t="shared" si="8"/>
        <v>-0.643332913269744</v>
      </c>
    </row>
    <row r="105" spans="1:7">
      <c r="A105" s="1">
        <v>38705</v>
      </c>
      <c r="B105">
        <v>1.1977</v>
      </c>
      <c r="C105">
        <f t="shared" si="5"/>
        <v>-0.0500834735009767</v>
      </c>
      <c r="D105">
        <f t="shared" si="6"/>
        <v>0.272697807567709</v>
      </c>
      <c r="E105">
        <f t="shared" si="7"/>
        <v>0.244181153744128</v>
      </c>
      <c r="F105">
        <f t="shared" si="9"/>
        <v>-0.645096367972975</v>
      </c>
      <c r="G105">
        <f t="shared" si="8"/>
        <v>-0.699786190894358</v>
      </c>
    </row>
    <row r="106" spans="1:7">
      <c r="A106" s="1">
        <v>38706</v>
      </c>
      <c r="B106">
        <v>1.1955</v>
      </c>
      <c r="C106">
        <f t="shared" si="5"/>
        <v>-0.183854305508165</v>
      </c>
      <c r="D106">
        <f t="shared" si="6"/>
        <v>0.24567886224273</v>
      </c>
      <c r="E106">
        <f t="shared" si="7"/>
        <v>0.230655702235377</v>
      </c>
      <c r="F106">
        <f t="shared" si="9"/>
        <v>-0.633071134273479</v>
      </c>
      <c r="G106">
        <f t="shared" si="8"/>
        <v>-0.660139979880825</v>
      </c>
    </row>
    <row r="107" spans="1:7">
      <c r="A107" s="1">
        <v>38707</v>
      </c>
      <c r="B107">
        <v>1.1872</v>
      </c>
      <c r="C107">
        <f t="shared" si="5"/>
        <v>-0.696691448526343</v>
      </c>
      <c r="D107">
        <f t="shared" si="6"/>
        <v>0.224491216583846</v>
      </c>
      <c r="E107">
        <f t="shared" si="7"/>
        <v>0.219506480383949</v>
      </c>
      <c r="F107">
        <f t="shared" si="9"/>
        <v>0.334105162297698</v>
      </c>
      <c r="G107">
        <f t="shared" si="8"/>
        <v>0.347427463392211</v>
      </c>
    </row>
    <row r="108" spans="1:7">
      <c r="A108" s="1">
        <v>38708</v>
      </c>
      <c r="B108">
        <v>1.1822</v>
      </c>
      <c r="C108">
        <f t="shared" si="5"/>
        <v>-0.422048402284702</v>
      </c>
      <c r="D108">
        <f t="shared" si="6"/>
        <v>0.250579992370435</v>
      </c>
      <c r="E108">
        <f t="shared" si="7"/>
        <v>0.231605040283398</v>
      </c>
      <c r="F108">
        <f t="shared" si="9"/>
        <v>-0.336563407023974</v>
      </c>
      <c r="G108">
        <f t="shared" si="8"/>
        <v>-0.346816460782698</v>
      </c>
    </row>
    <row r="109" spans="1:7">
      <c r="A109" s="1">
        <v>38709</v>
      </c>
      <c r="B109">
        <v>1.1859</v>
      </c>
      <c r="C109">
        <f t="shared" si="5"/>
        <v>0.312487058048033</v>
      </c>
      <c r="D109">
        <f t="shared" si="6"/>
        <v>0.243334478520498</v>
      </c>
      <c r="E109">
        <f t="shared" si="7"/>
        <v>0.227614980559948</v>
      </c>
      <c r="F109">
        <f t="shared" si="9"/>
        <v>-0.506013200840982</v>
      </c>
      <c r="G109">
        <f t="shared" si="8"/>
        <v>-0.52554694748974</v>
      </c>
    </row>
    <row r="110" spans="1:7">
      <c r="A110" s="1">
        <v>38713</v>
      </c>
      <c r="B110">
        <v>1.1852</v>
      </c>
      <c r="C110">
        <f t="shared" si="5"/>
        <v>-0.0590443271339288</v>
      </c>
      <c r="D110">
        <f t="shared" si="6"/>
        <v>0.2287658468132</v>
      </c>
      <c r="E110">
        <f t="shared" si="7"/>
        <v>0.219840489798727</v>
      </c>
      <c r="F110">
        <f t="shared" si="9"/>
        <v>-0.729908498152923</v>
      </c>
      <c r="G110">
        <f t="shared" si="8"/>
        <v>-0.749497516256721</v>
      </c>
    </row>
    <row r="111" spans="1:7">
      <c r="A111" s="1">
        <v>38714</v>
      </c>
      <c r="B111">
        <v>1.1916</v>
      </c>
      <c r="C111">
        <f t="shared" si="5"/>
        <v>0.538540513971711</v>
      </c>
      <c r="D111">
        <f t="shared" si="6"/>
        <v>0.20623788538855</v>
      </c>
      <c r="E111">
        <f t="shared" si="7"/>
        <v>0.207824372039138</v>
      </c>
      <c r="F111">
        <f t="shared" si="9"/>
        <v>-0.0862281411365594</v>
      </c>
      <c r="G111">
        <f t="shared" si="8"/>
        <v>-0.0877641819668801</v>
      </c>
    </row>
    <row r="112" spans="1:7">
      <c r="A112" s="1">
        <v>38715</v>
      </c>
      <c r="B112">
        <v>1.1825</v>
      </c>
      <c r="C112">
        <f t="shared" si="5"/>
        <v>-0.766610047303907</v>
      </c>
      <c r="D112">
        <f t="shared" si="6"/>
        <v>0.214616685368586</v>
      </c>
      <c r="E112">
        <f t="shared" si="7"/>
        <v>0.210856203976236</v>
      </c>
      <c r="F112">
        <f t="shared" si="9"/>
        <v>0.599713349532216</v>
      </c>
      <c r="G112">
        <f t="shared" si="8"/>
        <v>0.615292903033042</v>
      </c>
    </row>
    <row r="113" spans="1:7">
      <c r="A113" s="1">
        <v>38716</v>
      </c>
      <c r="B113">
        <v>1.1797</v>
      </c>
      <c r="C113">
        <f t="shared" si="5"/>
        <v>-0.237067251829134</v>
      </c>
      <c r="D113">
        <f t="shared" si="6"/>
        <v>0.251924113294458</v>
      </c>
      <c r="E113">
        <f t="shared" si="7"/>
        <v>0.228589379969026</v>
      </c>
      <c r="F113">
        <f t="shared" si="9"/>
        <v>-0.577770411093858</v>
      </c>
      <c r="G113">
        <f t="shared" si="8"/>
        <v>-0.614984218211026</v>
      </c>
    </row>
    <row r="114" spans="1:7">
      <c r="A114" s="1">
        <v>38719</v>
      </c>
      <c r="B114">
        <v>1.1826</v>
      </c>
      <c r="C114">
        <f t="shared" si="5"/>
        <v>0.245523553893294</v>
      </c>
      <c r="D114">
        <f t="shared" si="6"/>
        <v>0.232351790153994</v>
      </c>
      <c r="E114">
        <f t="shared" si="7"/>
        <v>0.218684061265376</v>
      </c>
      <c r="F114">
        <f t="shared" si="9"/>
        <v>-0.600030354350193</v>
      </c>
      <c r="G114">
        <f t="shared" si="8"/>
        <v>-0.622235063563741</v>
      </c>
    </row>
    <row r="115" spans="1:7">
      <c r="A115" s="1">
        <v>38720</v>
      </c>
      <c r="B115">
        <v>1.1875</v>
      </c>
      <c r="C115">
        <f t="shared" si="5"/>
        <v>0.413485252206678</v>
      </c>
      <c r="D115">
        <f t="shared" si="6"/>
        <v>0.215144792690234</v>
      </c>
      <c r="E115">
        <f t="shared" si="7"/>
        <v>0.209577108365273</v>
      </c>
      <c r="F115">
        <f t="shared" si="9"/>
        <v>-0.37088482378027</v>
      </c>
      <c r="G115">
        <f t="shared" si="8"/>
        <v>-0.373438815030998</v>
      </c>
    </row>
    <row r="116" spans="1:7">
      <c r="A116" s="1">
        <v>38721</v>
      </c>
      <c r="B116">
        <v>1.2083</v>
      </c>
      <c r="C116">
        <f t="shared" si="5"/>
        <v>1.73641561244662</v>
      </c>
      <c r="D116">
        <f t="shared" si="6"/>
        <v>0.210727318800452</v>
      </c>
      <c r="E116">
        <f t="shared" si="7"/>
        <v>0.206550984552977</v>
      </c>
      <c r="F116">
        <f t="shared" si="9"/>
        <v>6.37552989264816</v>
      </c>
      <c r="G116">
        <f t="shared" si="8"/>
        <v>6.51017306946034</v>
      </c>
    </row>
    <row r="117" spans="1:7">
      <c r="A117" s="1">
        <v>38722</v>
      </c>
      <c r="B117">
        <v>1.2088</v>
      </c>
      <c r="C117">
        <f t="shared" si="5"/>
        <v>0.0413718925267362</v>
      </c>
      <c r="D117">
        <f t="shared" si="6"/>
        <v>0.491168504835243</v>
      </c>
      <c r="E117">
        <f t="shared" si="7"/>
        <v>0.345914884437217</v>
      </c>
      <c r="F117">
        <f t="shared" si="9"/>
        <v>-0.353741601856681</v>
      </c>
      <c r="G117">
        <f t="shared" si="8"/>
        <v>-0.528307199041882</v>
      </c>
    </row>
    <row r="118" spans="1:7">
      <c r="A118" s="1">
        <v>38723</v>
      </c>
      <c r="B118">
        <v>1.2093</v>
      </c>
      <c r="C118">
        <f t="shared" si="5"/>
        <v>0.0413547832699883</v>
      </c>
      <c r="D118">
        <f t="shared" si="6"/>
        <v>0.442222817700843</v>
      </c>
      <c r="E118">
        <f t="shared" si="7"/>
        <v>0.326245573045546</v>
      </c>
      <c r="F118">
        <f t="shared" si="9"/>
        <v>-0.40603704466421</v>
      </c>
      <c r="G118">
        <f t="shared" si="8"/>
        <v>-0.557431385350487</v>
      </c>
    </row>
    <row r="119" spans="1:7">
      <c r="A119" s="1">
        <v>38726</v>
      </c>
      <c r="B119">
        <v>1.2078</v>
      </c>
      <c r="C119">
        <f t="shared" si="5"/>
        <v>-0.124115691742901</v>
      </c>
      <c r="D119">
        <f t="shared" si="6"/>
        <v>0.39817155774069</v>
      </c>
      <c r="E119">
        <f t="shared" si="7"/>
        <v>0.307756349567779</v>
      </c>
      <c r="F119">
        <f t="shared" si="9"/>
        <v>-0.44109185244897</v>
      </c>
      <c r="G119">
        <f t="shared" si="8"/>
        <v>-0.564196004542397</v>
      </c>
    </row>
    <row r="120" spans="1:7">
      <c r="A120" s="1">
        <v>38727</v>
      </c>
      <c r="B120">
        <v>1.2064</v>
      </c>
      <c r="C120">
        <f t="shared" si="5"/>
        <v>-0.115980462010919</v>
      </c>
      <c r="D120">
        <f t="shared" si="6"/>
        <v>0.359894872460302</v>
      </c>
      <c r="E120">
        <f t="shared" si="7"/>
        <v>0.291061203840553</v>
      </c>
      <c r="F120">
        <f t="shared" si="9"/>
        <v>-0.492283604413858</v>
      </c>
      <c r="G120">
        <f t="shared" si="8"/>
        <v>-0.594003228547262</v>
      </c>
    </row>
    <row r="121" spans="1:7">
      <c r="A121" s="1">
        <v>38728</v>
      </c>
      <c r="B121">
        <v>1.2088</v>
      </c>
      <c r="C121">
        <f t="shared" si="5"/>
        <v>0.198741370483842</v>
      </c>
      <c r="D121">
        <f t="shared" si="6"/>
        <v>0.325250531971099</v>
      </c>
      <c r="E121">
        <f t="shared" si="7"/>
        <v>0.275270104988533</v>
      </c>
      <c r="F121">
        <f t="shared" si="9"/>
        <v>-0.500860212293044</v>
      </c>
      <c r="G121">
        <f t="shared" si="8"/>
        <v>-0.573256912890964</v>
      </c>
    </row>
    <row r="122" spans="1:7">
      <c r="A122" s="1">
        <v>38729</v>
      </c>
      <c r="B122">
        <v>1.2113</v>
      </c>
      <c r="C122">
        <f t="shared" si="5"/>
        <v>0.206603106422666</v>
      </c>
      <c r="D122">
        <f t="shared" si="6"/>
        <v>0.296675292008169</v>
      </c>
      <c r="E122">
        <f t="shared" si="7"/>
        <v>0.261728805306311</v>
      </c>
      <c r="F122">
        <f t="shared" si="9"/>
        <v>-0.535619859526085</v>
      </c>
      <c r="G122">
        <f t="shared" si="8"/>
        <v>-0.588679171858963</v>
      </c>
    </row>
    <row r="123" spans="1:7">
      <c r="A123" s="1">
        <v>38730</v>
      </c>
      <c r="B123">
        <v>1.2039</v>
      </c>
      <c r="C123">
        <f t="shared" si="5"/>
        <v>-0.612787608177583</v>
      </c>
      <c r="D123">
        <f t="shared" si="6"/>
        <v>0.271276247165701</v>
      </c>
      <c r="E123">
        <f t="shared" si="7"/>
        <v>0.249159319167107</v>
      </c>
      <c r="F123">
        <f t="shared" si="9"/>
        <v>0.0398060692020558</v>
      </c>
      <c r="G123">
        <f t="shared" si="8"/>
        <v>0.0587199144199747</v>
      </c>
    </row>
    <row r="124" spans="1:7">
      <c r="A124" s="1">
        <v>38733</v>
      </c>
      <c r="B124">
        <v>1.2112</v>
      </c>
      <c r="C124">
        <f t="shared" si="5"/>
        <v>0.604531674220369</v>
      </c>
      <c r="D124">
        <f t="shared" si="6"/>
        <v>0.281699487722731</v>
      </c>
      <c r="E124">
        <f t="shared" si="7"/>
        <v>0.253985192653881</v>
      </c>
      <c r="F124">
        <f t="shared" si="9"/>
        <v>0.0152101826023315</v>
      </c>
      <c r="G124">
        <f t="shared" si="8"/>
        <v>0.0342088711926621</v>
      </c>
    </row>
    <row r="125" spans="1:7">
      <c r="A125" s="1">
        <v>38734</v>
      </c>
      <c r="B125">
        <v>1.2075</v>
      </c>
      <c r="C125">
        <f t="shared" si="5"/>
        <v>-0.305949715645661</v>
      </c>
      <c r="D125">
        <f t="shared" si="6"/>
        <v>0.290075393464027</v>
      </c>
      <c r="E125">
        <f t="shared" si="7"/>
        <v>0.258019008351432</v>
      </c>
      <c r="F125">
        <f t="shared" si="9"/>
        <v>-0.457460827579592</v>
      </c>
      <c r="G125">
        <f t="shared" si="8"/>
        <v>-0.495968893106479</v>
      </c>
    </row>
    <row r="126" spans="1:7">
      <c r="A126" s="1">
        <v>38735</v>
      </c>
      <c r="B126">
        <v>1.2125</v>
      </c>
      <c r="C126">
        <f t="shared" si="5"/>
        <v>0.413223728491037</v>
      </c>
      <c r="D126">
        <f t="shared" si="6"/>
        <v>0.27042837696799</v>
      </c>
      <c r="E126">
        <f t="shared" si="7"/>
        <v>0.248218129275529</v>
      </c>
      <c r="F126">
        <f t="shared" si="9"/>
        <v>-0.338164064511369</v>
      </c>
      <c r="G126">
        <f t="shared" si="8"/>
        <v>-0.352764419590555</v>
      </c>
    </row>
    <row r="127" spans="1:7">
      <c r="A127" s="1">
        <v>38736</v>
      </c>
      <c r="B127">
        <v>1.2073</v>
      </c>
      <c r="C127">
        <f t="shared" si="5"/>
        <v>-0.429788247329644</v>
      </c>
      <c r="D127">
        <f t="shared" si="6"/>
        <v>0.260460924249994</v>
      </c>
      <c r="E127">
        <f t="shared" si="7"/>
        <v>0.242862734008399</v>
      </c>
      <c r="F127">
        <f t="shared" si="9"/>
        <v>-0.318053039525758</v>
      </c>
      <c r="G127">
        <f t="shared" si="8"/>
        <v>-0.327336557068094</v>
      </c>
    </row>
    <row r="128" spans="1:7">
      <c r="A128" s="1">
        <v>38737</v>
      </c>
      <c r="B128">
        <v>1.2068</v>
      </c>
      <c r="C128">
        <f t="shared" si="5"/>
        <v>-0.0414233053435692</v>
      </c>
      <c r="D128">
        <f t="shared" si="6"/>
        <v>0.252886625579264</v>
      </c>
      <c r="E128">
        <f t="shared" si="7"/>
        <v>0.238526866845029</v>
      </c>
      <c r="F128">
        <f t="shared" si="9"/>
        <v>-0.68401439776676</v>
      </c>
      <c r="G128">
        <f t="shared" si="8"/>
        <v>-0.713039813917023</v>
      </c>
    </row>
    <row r="129" spans="1:7">
      <c r="A129" s="1">
        <v>38740</v>
      </c>
      <c r="B129">
        <v>1.2277</v>
      </c>
      <c r="C129">
        <f t="shared" si="5"/>
        <v>1.71702719018881</v>
      </c>
      <c r="D129">
        <f t="shared" si="6"/>
        <v>0.227769552043896</v>
      </c>
      <c r="E129">
        <f t="shared" si="7"/>
        <v>0.225301049345607</v>
      </c>
      <c r="F129">
        <f t="shared" si="9"/>
        <v>5.73214310963857</v>
      </c>
      <c r="G129">
        <f t="shared" si="8"/>
        <v>5.79760329810585</v>
      </c>
    </row>
    <row r="130" spans="1:7">
      <c r="A130" s="1">
        <v>38741</v>
      </c>
      <c r="B130">
        <v>1.2272</v>
      </c>
      <c r="C130">
        <f t="shared" si="5"/>
        <v>-0.0407348573802483</v>
      </c>
      <c r="D130">
        <f t="shared" si="6"/>
        <v>0.499810834024276</v>
      </c>
      <c r="E130">
        <f t="shared" si="7"/>
        <v>0.360192104977255</v>
      </c>
      <c r="F130">
        <f t="shared" si="9"/>
        <v>-0.345102835428075</v>
      </c>
      <c r="G130">
        <f t="shared" si="8"/>
        <v>-0.508255488545995</v>
      </c>
    </row>
    <row r="131" spans="1:7">
      <c r="A131" s="1">
        <v>38742</v>
      </c>
      <c r="B131">
        <v>1.2294</v>
      </c>
      <c r="C131">
        <f t="shared" si="5"/>
        <v>0.179109385991725</v>
      </c>
      <c r="D131">
        <f t="shared" si="6"/>
        <v>0.449995683482427</v>
      </c>
      <c r="E131">
        <f t="shared" si="7"/>
        <v>0.339663545108909</v>
      </c>
      <c r="F131">
        <f t="shared" si="9"/>
        <v>-0.363613666623995</v>
      </c>
      <c r="G131">
        <f t="shared" si="8"/>
        <v>-0.492676407449705</v>
      </c>
    </row>
    <row r="132" spans="1:7">
      <c r="A132" s="1">
        <v>38743</v>
      </c>
      <c r="B132">
        <v>1.2254</v>
      </c>
      <c r="C132">
        <f t="shared" ref="C132:C195" si="10">100*LN(B132/B131)</f>
        <v>-0.325892418135484</v>
      </c>
      <c r="D132">
        <f t="shared" si="6"/>
        <v>0.408204132349218</v>
      </c>
      <c r="E132">
        <f t="shared" si="7"/>
        <v>0.321887741009891</v>
      </c>
      <c r="F132">
        <f t="shared" si="9"/>
        <v>-0.31790478919444</v>
      </c>
      <c r="G132">
        <f t="shared" si="8"/>
        <v>-0.401802753142887</v>
      </c>
    </row>
    <row r="133" spans="1:7">
      <c r="A133" s="1">
        <v>38744</v>
      </c>
      <c r="B133">
        <v>1.2172</v>
      </c>
      <c r="C133">
        <f t="shared" si="10"/>
        <v>-0.671418226873815</v>
      </c>
      <c r="D133">
        <f t="shared" ref="D133:D196" si="11">$J$1*D132+(1-$J$1)*C132^2</f>
        <v>0.378004305934115</v>
      </c>
      <c r="E133">
        <f t="shared" ref="E133:E196" si="12">$K$1+$K$2*C132^2+$K$3*E132</f>
        <v>0.308884769959208</v>
      </c>
      <c r="F133">
        <f t="shared" si="9"/>
        <v>0.109867879077446</v>
      </c>
      <c r="G133">
        <f t="shared" ref="G133:G196" si="13">0.5*(LN(E133)+C133^2/E133)</f>
        <v>0.142332410831611</v>
      </c>
    </row>
    <row r="134" spans="1:7">
      <c r="A134" s="1">
        <v>38747</v>
      </c>
      <c r="B134">
        <v>1.2082</v>
      </c>
      <c r="C134">
        <f t="shared" si="10"/>
        <v>-0.742149031817526</v>
      </c>
      <c r="D134">
        <f t="shared" si="11"/>
        <v>0.385284118878541</v>
      </c>
      <c r="E134">
        <f t="shared" si="12"/>
        <v>0.313891805530574</v>
      </c>
      <c r="F134">
        <f t="shared" si="9"/>
        <v>0.237890827266874</v>
      </c>
      <c r="G134">
        <f t="shared" si="13"/>
        <v>0.297995319841001</v>
      </c>
    </row>
    <row r="135" spans="1:7">
      <c r="A135" s="1">
        <v>38748</v>
      </c>
      <c r="B135">
        <v>1.2118</v>
      </c>
      <c r="C135">
        <f t="shared" si="10"/>
        <v>0.297520880624789</v>
      </c>
      <c r="D135">
        <f t="shared" si="11"/>
        <v>0.401834225533456</v>
      </c>
      <c r="E135">
        <f t="shared" si="12"/>
        <v>0.323597556470124</v>
      </c>
      <c r="F135">
        <f t="shared" ref="F135:F198" si="14">0.5*(LN(D135)+C135^2/D135)</f>
        <v>-0.345714550857899</v>
      </c>
      <c r="G135">
        <f t="shared" si="13"/>
        <v>-0.427354543058675</v>
      </c>
    </row>
    <row r="136" spans="1:7">
      <c r="A136" s="1">
        <v>38749</v>
      </c>
      <c r="B136">
        <v>1.2092</v>
      </c>
      <c r="C136">
        <f t="shared" si="10"/>
        <v>-0.214787360558563</v>
      </c>
      <c r="D136">
        <f t="shared" si="11"/>
        <v>0.370502670420886</v>
      </c>
      <c r="E136">
        <f t="shared" si="12"/>
        <v>0.309607636802304</v>
      </c>
      <c r="F136">
        <f t="shared" si="14"/>
        <v>-0.434189178720662</v>
      </c>
      <c r="G136">
        <f t="shared" si="13"/>
        <v>-0.511721388676609</v>
      </c>
    </row>
    <row r="137" spans="1:7">
      <c r="A137" s="1">
        <v>38750</v>
      </c>
      <c r="B137">
        <v>1.2066</v>
      </c>
      <c r="C137">
        <f t="shared" si="10"/>
        <v>-0.215249689864174</v>
      </c>
      <c r="D137">
        <f t="shared" si="11"/>
        <v>0.338065764404369</v>
      </c>
      <c r="E137">
        <f t="shared" si="12"/>
        <v>0.294337859106952</v>
      </c>
      <c r="F137">
        <f t="shared" si="14"/>
        <v>-0.47373165346263</v>
      </c>
      <c r="G137">
        <f t="shared" si="13"/>
        <v>-0.532807295109966</v>
      </c>
    </row>
    <row r="138" spans="1:7">
      <c r="A138" s="1">
        <v>38751</v>
      </c>
      <c r="B138">
        <v>1.2061</v>
      </c>
      <c r="C138">
        <f t="shared" si="10"/>
        <v>-0.0414473417464118</v>
      </c>
      <c r="D138">
        <f t="shared" si="11"/>
        <v>0.308892430862594</v>
      </c>
      <c r="E138">
        <f t="shared" si="12"/>
        <v>0.279994209009866</v>
      </c>
      <c r="F138">
        <f t="shared" si="14"/>
        <v>-0.584600378857236</v>
      </c>
      <c r="G138">
        <f t="shared" si="13"/>
        <v>-0.633425468945762</v>
      </c>
    </row>
    <row r="139" spans="1:7">
      <c r="A139" s="1">
        <v>38754</v>
      </c>
      <c r="B139">
        <v>1.1981</v>
      </c>
      <c r="C139">
        <f t="shared" si="10"/>
        <v>-0.665504494334392</v>
      </c>
      <c r="D139">
        <f t="shared" si="11"/>
        <v>0.278174975990119</v>
      </c>
      <c r="E139">
        <f t="shared" si="12"/>
        <v>0.264280450576166</v>
      </c>
      <c r="F139">
        <f t="shared" si="14"/>
        <v>0.156322422640672</v>
      </c>
      <c r="G139">
        <f t="shared" si="13"/>
        <v>0.172556265582611</v>
      </c>
    </row>
    <row r="140" spans="1:7">
      <c r="A140" s="1">
        <v>38755</v>
      </c>
      <c r="B140">
        <v>1.1973</v>
      </c>
      <c r="C140">
        <f t="shared" si="10"/>
        <v>-0.0667946923055408</v>
      </c>
      <c r="D140">
        <f t="shared" si="11"/>
        <v>0.294647101589035</v>
      </c>
      <c r="E140">
        <f t="shared" si="12"/>
        <v>0.27156843514056</v>
      </c>
      <c r="F140">
        <f t="shared" si="14"/>
        <v>-0.603417478558835</v>
      </c>
      <c r="G140">
        <f t="shared" si="13"/>
        <v>-0.643556177293673</v>
      </c>
    </row>
    <row r="141" spans="1:7">
      <c r="A141" s="1">
        <v>38756</v>
      </c>
      <c r="B141">
        <v>1.1948</v>
      </c>
      <c r="C141">
        <f t="shared" si="10"/>
        <v>-0.209021438084312</v>
      </c>
      <c r="D141">
        <f t="shared" si="11"/>
        <v>0.26562854452215</v>
      </c>
      <c r="E141">
        <f t="shared" si="12"/>
        <v>0.256497405578136</v>
      </c>
      <c r="F141">
        <f t="shared" si="14"/>
        <v>-0.580589367378553</v>
      </c>
      <c r="G141">
        <f t="shared" si="13"/>
        <v>-0.595151886017242</v>
      </c>
    </row>
    <row r="142" spans="1:7">
      <c r="A142" s="1">
        <v>38757</v>
      </c>
      <c r="B142">
        <v>1.1972</v>
      </c>
      <c r="C142">
        <f t="shared" si="10"/>
        <v>0.200668963658903</v>
      </c>
      <c r="D142">
        <f t="shared" si="11"/>
        <v>0.243434686227819</v>
      </c>
      <c r="E142">
        <f t="shared" si="12"/>
        <v>0.244292059322389</v>
      </c>
      <c r="F142">
        <f t="shared" si="14"/>
        <v>-0.623745216696723</v>
      </c>
      <c r="G142">
        <f t="shared" si="13"/>
        <v>-0.622277592692852</v>
      </c>
    </row>
    <row r="143" spans="1:7">
      <c r="A143" s="1">
        <v>38758</v>
      </c>
      <c r="B143">
        <v>1.197</v>
      </c>
      <c r="C143">
        <f t="shared" si="10"/>
        <v>-0.0167070420570712</v>
      </c>
      <c r="D143">
        <f t="shared" si="11"/>
        <v>0.223118020902631</v>
      </c>
      <c r="E143">
        <f t="shared" si="12"/>
        <v>0.232647937411843</v>
      </c>
      <c r="F143">
        <f t="shared" si="14"/>
        <v>-0.749401692571409</v>
      </c>
      <c r="G143">
        <f t="shared" si="13"/>
        <v>-0.728514595517374</v>
      </c>
    </row>
    <row r="144" spans="1:7">
      <c r="A144" s="1">
        <v>38761</v>
      </c>
      <c r="B144">
        <v>1.1888</v>
      </c>
      <c r="C144">
        <f t="shared" si="10"/>
        <v>-0.687403159447844</v>
      </c>
      <c r="D144">
        <f t="shared" si="11"/>
        <v>0.200834131337797</v>
      </c>
      <c r="E144">
        <f t="shared" si="12"/>
        <v>0.219703017429847</v>
      </c>
      <c r="F144">
        <f t="shared" si="14"/>
        <v>0.373763428296197</v>
      </c>
      <c r="G144">
        <f t="shared" si="13"/>
        <v>0.317628523245124</v>
      </c>
    </row>
    <row r="145" spans="1:7">
      <c r="A145" s="1">
        <v>38762</v>
      </c>
      <c r="B145">
        <v>1.1898</v>
      </c>
      <c r="C145">
        <f t="shared" si="10"/>
        <v>0.084083079031052</v>
      </c>
      <c r="D145">
        <f t="shared" si="11"/>
        <v>0.228003028565905</v>
      </c>
      <c r="E145">
        <f t="shared" si="12"/>
        <v>0.231146991565</v>
      </c>
      <c r="F145">
        <f t="shared" si="14"/>
        <v>-0.723694081999052</v>
      </c>
      <c r="G145">
        <f t="shared" si="13"/>
        <v>-0.717057500577025</v>
      </c>
    </row>
    <row r="146" spans="1:7">
      <c r="A146" s="1">
        <v>38763</v>
      </c>
      <c r="B146">
        <v>1.1904</v>
      </c>
      <c r="C146">
        <f t="shared" si="10"/>
        <v>0.050415932502213</v>
      </c>
      <c r="D146">
        <f t="shared" si="11"/>
        <v>0.205909722127249</v>
      </c>
      <c r="E146">
        <f t="shared" si="12"/>
        <v>0.218631670280067</v>
      </c>
      <c r="F146">
        <f t="shared" si="14"/>
        <v>-0.783986683768342</v>
      </c>
      <c r="G146">
        <f t="shared" si="13"/>
        <v>-0.754370522150228</v>
      </c>
    </row>
    <row r="147" spans="1:7">
      <c r="A147" s="1">
        <v>38764</v>
      </c>
      <c r="B147">
        <v>1.1858</v>
      </c>
      <c r="C147">
        <f t="shared" si="10"/>
        <v>-0.387173280556002</v>
      </c>
      <c r="D147">
        <f t="shared" si="11"/>
        <v>0.185572926539531</v>
      </c>
      <c r="E147">
        <f t="shared" si="12"/>
        <v>0.206640858375767</v>
      </c>
      <c r="F147">
        <f t="shared" si="14"/>
        <v>-0.438260838974498</v>
      </c>
      <c r="G147">
        <f t="shared" si="13"/>
        <v>-0.425672283495665</v>
      </c>
    </row>
    <row r="148" spans="1:7">
      <c r="A148" s="1">
        <v>38765</v>
      </c>
      <c r="B148">
        <v>1.1863</v>
      </c>
      <c r="C148">
        <f t="shared" si="10"/>
        <v>0.0421567393790312</v>
      </c>
      <c r="D148">
        <f t="shared" si="11"/>
        <v>0.182005948803227</v>
      </c>
      <c r="E148">
        <f t="shared" si="12"/>
        <v>0.202737564332045</v>
      </c>
      <c r="F148">
        <f t="shared" si="14"/>
        <v>-0.846975720968602</v>
      </c>
      <c r="G148">
        <f t="shared" si="13"/>
        <v>-0.793538478230353</v>
      </c>
    </row>
    <row r="149" spans="1:7">
      <c r="A149" s="1">
        <v>38768</v>
      </c>
      <c r="B149">
        <v>1.1932</v>
      </c>
      <c r="C149">
        <f t="shared" si="10"/>
        <v>0.579955397353589</v>
      </c>
      <c r="D149">
        <f t="shared" si="11"/>
        <v>0.163983072990412</v>
      </c>
      <c r="E149">
        <f t="shared" si="12"/>
        <v>0.191662170005876</v>
      </c>
      <c r="F149">
        <f t="shared" si="14"/>
        <v>0.121561837507143</v>
      </c>
      <c r="G149">
        <f t="shared" si="13"/>
        <v>0.0514403428437276</v>
      </c>
    </row>
    <row r="150" spans="1:7">
      <c r="A150" s="1">
        <v>38769</v>
      </c>
      <c r="B150">
        <v>1.1906</v>
      </c>
      <c r="C150">
        <f t="shared" si="10"/>
        <v>-0.218139192130362</v>
      </c>
      <c r="D150">
        <f t="shared" si="11"/>
        <v>0.181219591983327</v>
      </c>
      <c r="E150">
        <f t="shared" si="12"/>
        <v>0.197979852951502</v>
      </c>
      <c r="F150">
        <f t="shared" si="14"/>
        <v>-0.722732699868412</v>
      </c>
      <c r="G150">
        <f t="shared" si="13"/>
        <v>-0.689619373037223</v>
      </c>
    </row>
    <row r="151" spans="1:7">
      <c r="A151" s="1">
        <v>38770</v>
      </c>
      <c r="B151">
        <v>1.1875</v>
      </c>
      <c r="C151">
        <f t="shared" si="10"/>
        <v>-0.260712481049353</v>
      </c>
      <c r="D151">
        <f t="shared" si="11"/>
        <v>0.167856103499323</v>
      </c>
      <c r="E151">
        <f t="shared" si="12"/>
        <v>0.189480297131576</v>
      </c>
      <c r="F151">
        <f t="shared" si="14"/>
        <v>-0.689856041150151</v>
      </c>
      <c r="G151">
        <f t="shared" si="13"/>
        <v>-0.652373465593565</v>
      </c>
    </row>
    <row r="152" spans="1:7">
      <c r="A152" s="1">
        <v>38771</v>
      </c>
      <c r="B152">
        <v>1.1957</v>
      </c>
      <c r="C152">
        <f t="shared" si="10"/>
        <v>0.688153101673804</v>
      </c>
      <c r="D152">
        <f t="shared" si="11"/>
        <v>0.157867592926881</v>
      </c>
      <c r="E152">
        <f t="shared" si="12"/>
        <v>0.182510029192427</v>
      </c>
      <c r="F152">
        <f t="shared" si="14"/>
        <v>0.576848388562418</v>
      </c>
      <c r="G152">
        <f t="shared" si="13"/>
        <v>0.446863742195077</v>
      </c>
    </row>
    <row r="153" spans="1:7">
      <c r="A153" s="1">
        <v>38772</v>
      </c>
      <c r="B153">
        <v>1.1896</v>
      </c>
      <c r="C153">
        <f t="shared" si="10"/>
        <v>-0.511467177958901</v>
      </c>
      <c r="D153">
        <f t="shared" si="11"/>
        <v>0.189436302768521</v>
      </c>
      <c r="E153">
        <f t="shared" si="12"/>
        <v>0.196237162008045</v>
      </c>
      <c r="F153">
        <f t="shared" si="14"/>
        <v>-0.141385164848464</v>
      </c>
      <c r="G153">
        <f t="shared" si="13"/>
        <v>-0.147678630684217</v>
      </c>
    </row>
    <row r="154" spans="1:7">
      <c r="A154" s="1">
        <v>38775</v>
      </c>
      <c r="B154">
        <v>1.1852</v>
      </c>
      <c r="C154">
        <f t="shared" si="10"/>
        <v>-0.37055794465351</v>
      </c>
      <c r="D154">
        <f t="shared" si="11"/>
        <v>0.196652539904593</v>
      </c>
      <c r="E154">
        <f t="shared" si="12"/>
        <v>0.198542865994024</v>
      </c>
      <c r="F154">
        <f t="shared" si="14"/>
        <v>-0.464032022677427</v>
      </c>
      <c r="G154">
        <f t="shared" si="13"/>
        <v>-0.462572748402889</v>
      </c>
    </row>
    <row r="155" spans="1:7">
      <c r="A155" s="1">
        <v>38776</v>
      </c>
      <c r="B155">
        <v>1.1875</v>
      </c>
      <c r="C155">
        <f t="shared" si="10"/>
        <v>0.193872020938607</v>
      </c>
      <c r="D155">
        <f t="shared" si="11"/>
        <v>0.190718604948717</v>
      </c>
      <c r="E155">
        <f t="shared" si="12"/>
        <v>0.194495953551675</v>
      </c>
      <c r="F155">
        <f t="shared" si="14"/>
        <v>-0.729939316523421</v>
      </c>
      <c r="G155">
        <f t="shared" si="13"/>
        <v>-0.722046915316819</v>
      </c>
    </row>
    <row r="156" spans="1:7">
      <c r="A156" s="1">
        <v>38777</v>
      </c>
      <c r="B156">
        <v>1.1954</v>
      </c>
      <c r="C156">
        <f t="shared" si="10"/>
        <v>0.663060048135763</v>
      </c>
      <c r="D156">
        <f t="shared" si="11"/>
        <v>0.175405380504127</v>
      </c>
      <c r="E156">
        <f t="shared" si="12"/>
        <v>0.185705514363715</v>
      </c>
      <c r="F156">
        <f t="shared" si="14"/>
        <v>0.382908102798151</v>
      </c>
      <c r="G156">
        <f t="shared" si="13"/>
        <v>0.341928731285122</v>
      </c>
    </row>
    <row r="157" spans="1:7">
      <c r="A157" s="1">
        <v>38778</v>
      </c>
      <c r="B157">
        <v>1.1921</v>
      </c>
      <c r="C157">
        <f t="shared" si="10"/>
        <v>-0.276439966619802</v>
      </c>
      <c r="D157">
        <f t="shared" si="11"/>
        <v>0.201829705197095</v>
      </c>
      <c r="E157">
        <f t="shared" si="12"/>
        <v>0.197545614873582</v>
      </c>
      <c r="F157">
        <f t="shared" si="14"/>
        <v>-0.610849811902318</v>
      </c>
      <c r="G157">
        <f t="shared" si="13"/>
        <v>-0.61747159041878</v>
      </c>
    </row>
    <row r="158" spans="1:7">
      <c r="A158" s="1">
        <v>38779</v>
      </c>
      <c r="B158">
        <v>1.202</v>
      </c>
      <c r="C158">
        <f t="shared" si="10"/>
        <v>0.827037837119703</v>
      </c>
      <c r="D158">
        <f t="shared" si="11"/>
        <v>0.189288640191861</v>
      </c>
      <c r="E158">
        <f t="shared" si="12"/>
        <v>0.190513830738405</v>
      </c>
      <c r="F158">
        <f t="shared" si="14"/>
        <v>0.974501177969105</v>
      </c>
      <c r="G158">
        <f t="shared" si="13"/>
        <v>0.966107928936719</v>
      </c>
    </row>
    <row r="159" spans="1:7">
      <c r="A159" s="1">
        <v>38782</v>
      </c>
      <c r="B159">
        <v>1.2017</v>
      </c>
      <c r="C159">
        <f t="shared" si="10"/>
        <v>-0.024961517789875</v>
      </c>
      <c r="D159">
        <f t="shared" si="11"/>
        <v>0.238758934575438</v>
      </c>
      <c r="E159">
        <f t="shared" si="12"/>
        <v>0.214282580095483</v>
      </c>
      <c r="F159">
        <f t="shared" si="14"/>
        <v>-0.714845613763483</v>
      </c>
      <c r="G159">
        <f t="shared" si="13"/>
        <v>-0.768775965175456</v>
      </c>
    </row>
    <row r="160" spans="1:7">
      <c r="A160" s="1">
        <v>38783</v>
      </c>
      <c r="B160">
        <v>1.1913</v>
      </c>
      <c r="C160">
        <f t="shared" si="10"/>
        <v>-0.86920731119386</v>
      </c>
      <c r="D160">
        <f t="shared" si="11"/>
        <v>0.214945348854932</v>
      </c>
      <c r="E160">
        <f t="shared" si="12"/>
        <v>0.202456779158272</v>
      </c>
      <c r="F160">
        <f t="shared" si="14"/>
        <v>0.988787392197398</v>
      </c>
      <c r="G160">
        <f t="shared" si="13"/>
        <v>1.06726863575999</v>
      </c>
    </row>
    <row r="161" spans="1:7">
      <c r="A161" s="1">
        <v>38784</v>
      </c>
      <c r="B161">
        <v>1.1914</v>
      </c>
      <c r="C161">
        <f t="shared" si="10"/>
        <v>0.00839383892715732</v>
      </c>
      <c r="D161">
        <f t="shared" si="11"/>
        <v>0.269002948952725</v>
      </c>
      <c r="E161">
        <f t="shared" si="12"/>
        <v>0.229085439900419</v>
      </c>
      <c r="F161">
        <f t="shared" si="14"/>
        <v>-0.656385509734547</v>
      </c>
      <c r="G161">
        <f t="shared" si="13"/>
        <v>-0.736676344657233</v>
      </c>
    </row>
    <row r="162" spans="1:7">
      <c r="A162" s="1">
        <v>38785</v>
      </c>
      <c r="B162">
        <v>1.192</v>
      </c>
      <c r="C162">
        <f t="shared" si="10"/>
        <v>0.0503482430708031</v>
      </c>
      <c r="D162">
        <f t="shared" si="11"/>
        <v>0.242109699710646</v>
      </c>
      <c r="E162">
        <f t="shared" si="12"/>
        <v>0.216343836332991</v>
      </c>
      <c r="F162">
        <f t="shared" si="14"/>
        <v>-0.703947057708233</v>
      </c>
      <c r="G162">
        <f t="shared" si="13"/>
        <v>-0.759584547370157</v>
      </c>
    </row>
    <row r="163" spans="1:7">
      <c r="A163" s="1">
        <v>38786</v>
      </c>
      <c r="B163">
        <v>1.1919</v>
      </c>
      <c r="C163">
        <f t="shared" si="10"/>
        <v>-0.00838961366321318</v>
      </c>
      <c r="D163">
        <f t="shared" si="11"/>
        <v>0.218152224297613</v>
      </c>
      <c r="E163">
        <f t="shared" si="12"/>
        <v>0.204489953432027</v>
      </c>
      <c r="F163">
        <f t="shared" si="14"/>
        <v>-0.761119769385301</v>
      </c>
      <c r="G163">
        <f t="shared" si="13"/>
        <v>-0.793446115659926</v>
      </c>
    </row>
    <row r="164" spans="1:7">
      <c r="A164" s="1">
        <v>38789</v>
      </c>
      <c r="B164">
        <v>1.1922</v>
      </c>
      <c r="C164">
        <f t="shared" si="10"/>
        <v>0.0251667297163104</v>
      </c>
      <c r="D164">
        <f t="shared" si="11"/>
        <v>0.196344040429593</v>
      </c>
      <c r="E164">
        <f t="shared" si="12"/>
        <v>0.193224075506976</v>
      </c>
      <c r="F164">
        <f t="shared" si="14"/>
        <v>-0.81233053100586</v>
      </c>
      <c r="G164">
        <f t="shared" si="13"/>
        <v>-0.820313437982955</v>
      </c>
    </row>
    <row r="165" spans="1:7">
      <c r="A165" s="1">
        <v>38790</v>
      </c>
      <c r="B165">
        <v>1.1948</v>
      </c>
      <c r="C165">
        <f t="shared" si="10"/>
        <v>0.21784675561288</v>
      </c>
      <c r="D165">
        <f t="shared" si="11"/>
        <v>0.176772972815095</v>
      </c>
      <c r="E165">
        <f t="shared" si="12"/>
        <v>0.182662299190788</v>
      </c>
      <c r="F165">
        <f t="shared" si="14"/>
        <v>-0.732212420976331</v>
      </c>
      <c r="G165">
        <f t="shared" si="13"/>
        <v>-0.720153869976734</v>
      </c>
    </row>
    <row r="166" spans="1:7">
      <c r="A166" s="1">
        <v>38791</v>
      </c>
      <c r="B166">
        <v>1.2026</v>
      </c>
      <c r="C166">
        <f t="shared" si="10"/>
        <v>0.650707226351333</v>
      </c>
      <c r="D166">
        <f t="shared" si="11"/>
        <v>0.163841396426692</v>
      </c>
      <c r="E166">
        <f t="shared" si="12"/>
        <v>0.175075421685894</v>
      </c>
      <c r="F166">
        <f t="shared" si="14"/>
        <v>0.387735750496103</v>
      </c>
      <c r="G166">
        <f t="shared" si="13"/>
        <v>0.337980754676345</v>
      </c>
    </row>
    <row r="167" spans="1:7">
      <c r="A167" s="1">
        <v>38792</v>
      </c>
      <c r="B167">
        <v>1.2069</v>
      </c>
      <c r="C167">
        <f t="shared" si="10"/>
        <v>0.356920901838401</v>
      </c>
      <c r="D167">
        <f t="shared" si="11"/>
        <v>0.189799246226607</v>
      </c>
      <c r="E167">
        <f t="shared" si="12"/>
        <v>0.186741891106033</v>
      </c>
      <c r="F167">
        <f t="shared" si="14"/>
        <v>-0.49529608912161</v>
      </c>
      <c r="G167">
        <f t="shared" si="13"/>
        <v>-0.497921403212798</v>
      </c>
    </row>
    <row r="168" spans="1:7">
      <c r="A168" s="1">
        <v>38793</v>
      </c>
      <c r="B168">
        <v>1.2185</v>
      </c>
      <c r="C168">
        <f t="shared" si="10"/>
        <v>0.956550544140851</v>
      </c>
      <c r="D168">
        <f t="shared" si="11"/>
        <v>0.18355857462086</v>
      </c>
      <c r="E168">
        <f t="shared" si="12"/>
        <v>0.182907004148127</v>
      </c>
      <c r="F168">
        <f t="shared" si="14"/>
        <v>1.64475157549984</v>
      </c>
      <c r="G168">
        <f t="shared" si="13"/>
        <v>1.65185214199972</v>
      </c>
    </row>
    <row r="169" spans="1:7">
      <c r="A169" s="1">
        <v>38796</v>
      </c>
      <c r="B169">
        <v>1.2174</v>
      </c>
      <c r="C169">
        <f t="shared" si="10"/>
        <v>-0.0903157005436801</v>
      </c>
      <c r="D169">
        <f t="shared" si="11"/>
        <v>0.25670161150839</v>
      </c>
      <c r="E169">
        <f t="shared" si="12"/>
        <v>0.218682031074048</v>
      </c>
      <c r="F169">
        <f t="shared" si="14"/>
        <v>-0.664032504666484</v>
      </c>
      <c r="G169">
        <f t="shared" si="13"/>
        <v>-0.741418061912802</v>
      </c>
    </row>
    <row r="170" spans="1:7">
      <c r="A170" s="1">
        <v>38797</v>
      </c>
      <c r="B170">
        <v>1.2144</v>
      </c>
      <c r="C170">
        <f t="shared" si="10"/>
        <v>-0.246730941845873</v>
      </c>
      <c r="D170">
        <f t="shared" si="11"/>
        <v>0.23184714293402</v>
      </c>
      <c r="E170">
        <f t="shared" si="12"/>
        <v>0.20696895549784</v>
      </c>
      <c r="F170">
        <f t="shared" si="14"/>
        <v>-0.599553380522539</v>
      </c>
      <c r="G170">
        <f t="shared" si="13"/>
        <v>-0.640527320128748</v>
      </c>
    </row>
    <row r="171" spans="1:7">
      <c r="A171" s="1">
        <v>38798</v>
      </c>
      <c r="B171">
        <v>1.2069</v>
      </c>
      <c r="C171">
        <f t="shared" si="10"/>
        <v>-0.619503901751314</v>
      </c>
      <c r="D171">
        <f t="shared" si="11"/>
        <v>0.214750044407034</v>
      </c>
      <c r="E171">
        <f t="shared" si="12"/>
        <v>0.198594626051177</v>
      </c>
      <c r="F171">
        <f t="shared" si="14"/>
        <v>0.124422037521391</v>
      </c>
      <c r="G171">
        <f t="shared" si="13"/>
        <v>0.158007647306168</v>
      </c>
    </row>
    <row r="172" spans="1:7">
      <c r="A172" s="1">
        <v>38799</v>
      </c>
      <c r="B172">
        <v>1.2055</v>
      </c>
      <c r="C172">
        <f t="shared" si="10"/>
        <v>-0.116067000262659</v>
      </c>
      <c r="D172">
        <f t="shared" si="11"/>
        <v>0.23165354839484</v>
      </c>
      <c r="E172">
        <f t="shared" si="12"/>
        <v>0.206868202702361</v>
      </c>
      <c r="F172">
        <f t="shared" si="14"/>
        <v>-0.702179243521383</v>
      </c>
      <c r="G172">
        <f t="shared" si="13"/>
        <v>-0.755275991403649</v>
      </c>
    </row>
    <row r="173" spans="1:7">
      <c r="A173" s="1">
        <v>38800</v>
      </c>
      <c r="B173">
        <v>1.1969</v>
      </c>
      <c r="C173">
        <f t="shared" si="10"/>
        <v>-0.715953774190095</v>
      </c>
      <c r="D173">
        <f t="shared" si="11"/>
        <v>0.209835348410354</v>
      </c>
      <c r="E173">
        <f t="shared" si="12"/>
        <v>0.196129687967718</v>
      </c>
      <c r="F173">
        <f t="shared" si="14"/>
        <v>0.440693517918647</v>
      </c>
      <c r="G173">
        <f t="shared" si="13"/>
        <v>0.492272825675456</v>
      </c>
    </row>
    <row r="174" spans="1:7">
      <c r="A174" s="1">
        <v>38803</v>
      </c>
      <c r="B174">
        <v>1.2025</v>
      </c>
      <c r="C174">
        <f t="shared" si="10"/>
        <v>0.466784210059127</v>
      </c>
      <c r="D174">
        <f t="shared" si="11"/>
        <v>0.240110794247022</v>
      </c>
      <c r="E174">
        <f t="shared" si="12"/>
        <v>0.210991397028507</v>
      </c>
      <c r="F174">
        <f t="shared" si="14"/>
        <v>-0.259604578480814</v>
      </c>
      <c r="G174">
        <f t="shared" si="13"/>
        <v>-0.261626819750527</v>
      </c>
    </row>
    <row r="175" spans="1:7">
      <c r="A175" s="1">
        <v>38804</v>
      </c>
      <c r="B175">
        <v>1.2084</v>
      </c>
      <c r="C175">
        <f t="shared" si="10"/>
        <v>0.489444753260064</v>
      </c>
      <c r="D175">
        <f t="shared" si="11"/>
        <v>0.237888464698372</v>
      </c>
      <c r="E175">
        <f t="shared" si="12"/>
        <v>0.210226288144823</v>
      </c>
      <c r="F175">
        <f t="shared" si="14"/>
        <v>-0.214471457567119</v>
      </c>
      <c r="G175">
        <f t="shared" si="13"/>
        <v>-0.210027507700997</v>
      </c>
    </row>
    <row r="176" spans="1:7">
      <c r="A176" s="1">
        <v>38805</v>
      </c>
      <c r="B176">
        <v>1.2012</v>
      </c>
      <c r="C176">
        <f t="shared" si="10"/>
        <v>-0.597611340334155</v>
      </c>
      <c r="D176">
        <f t="shared" si="11"/>
        <v>0.238055234877916</v>
      </c>
      <c r="E176">
        <f t="shared" si="12"/>
        <v>0.210590519180824</v>
      </c>
      <c r="F176">
        <f t="shared" si="14"/>
        <v>0.0324923132018371</v>
      </c>
      <c r="G176">
        <f t="shared" si="13"/>
        <v>0.0690274265815289</v>
      </c>
    </row>
    <row r="177" spans="1:7">
      <c r="A177" s="1">
        <v>38806</v>
      </c>
      <c r="B177">
        <v>1.2096</v>
      </c>
      <c r="C177">
        <f t="shared" si="10"/>
        <v>0.696866931609322</v>
      </c>
      <c r="D177">
        <f t="shared" si="11"/>
        <v>0.249963642799723</v>
      </c>
      <c r="E177">
        <f t="shared" si="12"/>
        <v>0.216812053734774</v>
      </c>
      <c r="F177">
        <f t="shared" si="14"/>
        <v>0.278168408329913</v>
      </c>
      <c r="G177">
        <f t="shared" si="13"/>
        <v>0.355555971714466</v>
      </c>
    </row>
    <row r="178" spans="1:7">
      <c r="A178" s="1">
        <v>38807</v>
      </c>
      <c r="B178">
        <v>1.2104</v>
      </c>
      <c r="C178">
        <f t="shared" si="10"/>
        <v>0.0661157048877535</v>
      </c>
      <c r="D178">
        <f t="shared" si="11"/>
        <v>0.273529630556809</v>
      </c>
      <c r="E178">
        <f t="shared" si="12"/>
        <v>0.229084506529217</v>
      </c>
      <c r="F178">
        <f t="shared" si="14"/>
        <v>-0.640182145090729</v>
      </c>
      <c r="G178">
        <f t="shared" si="13"/>
        <v>-0.727291386931853</v>
      </c>
    </row>
    <row r="179" spans="1:7">
      <c r="A179" s="1">
        <v>38810</v>
      </c>
      <c r="B179">
        <v>1.2063</v>
      </c>
      <c r="C179">
        <f t="shared" si="10"/>
        <v>-0.339305990280818</v>
      </c>
      <c r="D179">
        <f t="shared" si="11"/>
        <v>0.246613796144409</v>
      </c>
      <c r="E179">
        <f t="shared" si="12"/>
        <v>0.216558000459104</v>
      </c>
      <c r="F179">
        <f t="shared" si="14"/>
        <v>-0.466547148582319</v>
      </c>
      <c r="G179">
        <f t="shared" si="13"/>
        <v>-0.499133836914162</v>
      </c>
    </row>
    <row r="180" spans="1:7">
      <c r="A180" s="1">
        <v>38811</v>
      </c>
      <c r="B180">
        <v>1.2217</v>
      </c>
      <c r="C180">
        <f t="shared" si="10"/>
        <v>1.26855078386762</v>
      </c>
      <c r="D180">
        <f t="shared" si="11"/>
        <v>0.233465272034013</v>
      </c>
      <c r="E180">
        <f t="shared" si="12"/>
        <v>0.21032094818358</v>
      </c>
      <c r="F180">
        <f t="shared" si="14"/>
        <v>2.71902117719273</v>
      </c>
      <c r="G180">
        <f t="shared" si="13"/>
        <v>3.0460716857657</v>
      </c>
    </row>
    <row r="181" spans="1:7">
      <c r="A181" s="1">
        <v>38812</v>
      </c>
      <c r="B181">
        <v>1.2262</v>
      </c>
      <c r="C181">
        <f t="shared" si="10"/>
        <v>0.367662491857342</v>
      </c>
      <c r="D181">
        <f t="shared" si="11"/>
        <v>0.371040853955726</v>
      </c>
      <c r="E181">
        <f t="shared" si="12"/>
        <v>0.279162745855122</v>
      </c>
      <c r="F181">
        <f t="shared" si="14"/>
        <v>-0.313564106946294</v>
      </c>
      <c r="G181">
        <f t="shared" si="13"/>
        <v>-0.395871028497888</v>
      </c>
    </row>
    <row r="182" spans="1:7">
      <c r="A182" s="1">
        <v>38813</v>
      </c>
      <c r="B182">
        <v>1.2312</v>
      </c>
      <c r="C182">
        <f t="shared" si="10"/>
        <v>0.406934719608193</v>
      </c>
      <c r="D182">
        <f t="shared" si="11"/>
        <v>0.347454339352028</v>
      </c>
      <c r="E182">
        <f t="shared" si="12"/>
        <v>0.270171766499753</v>
      </c>
      <c r="F182">
        <f t="shared" si="14"/>
        <v>-0.290262265082559</v>
      </c>
      <c r="G182">
        <f t="shared" si="13"/>
        <v>-0.347884627777834</v>
      </c>
    </row>
    <row r="183" spans="1:7">
      <c r="A183" s="1">
        <v>38814</v>
      </c>
      <c r="B183">
        <v>1.2179</v>
      </c>
      <c r="C183">
        <f t="shared" si="10"/>
        <v>-1.08612394316047</v>
      </c>
      <c r="D183">
        <f t="shared" si="11"/>
        <v>0.329268492019085</v>
      </c>
      <c r="E183">
        <f t="shared" si="12"/>
        <v>0.263241253810897</v>
      </c>
      <c r="F183">
        <f t="shared" si="14"/>
        <v>1.23590150968266</v>
      </c>
      <c r="G183">
        <f t="shared" si="13"/>
        <v>1.57331198196472</v>
      </c>
    </row>
    <row r="184" spans="1:7">
      <c r="A184" s="1">
        <v>38817</v>
      </c>
      <c r="B184">
        <v>1.2099</v>
      </c>
      <c r="C184">
        <f t="shared" si="10"/>
        <v>-0.659035254563263</v>
      </c>
      <c r="D184">
        <f t="shared" si="11"/>
        <v>0.414308164807822</v>
      </c>
      <c r="E184">
        <f t="shared" si="12"/>
        <v>0.307430039577566</v>
      </c>
      <c r="F184">
        <f t="shared" si="14"/>
        <v>0.0835873059348109</v>
      </c>
      <c r="G184">
        <f t="shared" si="13"/>
        <v>0.116630369586102</v>
      </c>
    </row>
    <row r="185" spans="1:7">
      <c r="A185" s="1">
        <v>38818</v>
      </c>
      <c r="B185">
        <v>1.2105</v>
      </c>
      <c r="C185">
        <f t="shared" si="10"/>
        <v>0.0495785830680917</v>
      </c>
      <c r="D185">
        <f t="shared" si="11"/>
        <v>0.416310095002766</v>
      </c>
      <c r="E185">
        <f t="shared" si="12"/>
        <v>0.311700610540775</v>
      </c>
      <c r="F185">
        <f t="shared" si="14"/>
        <v>-0.435210268401784</v>
      </c>
      <c r="G185">
        <f t="shared" si="13"/>
        <v>-0.578913123062137</v>
      </c>
    </row>
    <row r="186" spans="1:7">
      <c r="A186" s="1">
        <v>38819</v>
      </c>
      <c r="B186">
        <v>1.2125</v>
      </c>
      <c r="C186">
        <f t="shared" si="10"/>
        <v>0.165084643352499</v>
      </c>
      <c r="D186">
        <f t="shared" si="11"/>
        <v>0.374924889092393</v>
      </c>
      <c r="E186">
        <f t="shared" si="12"/>
        <v>0.294121475703281</v>
      </c>
      <c r="F186">
        <f t="shared" si="14"/>
        <v>-0.454170252130363</v>
      </c>
      <c r="G186">
        <f t="shared" si="13"/>
        <v>-0.56555181314529</v>
      </c>
    </row>
    <row r="187" spans="1:7">
      <c r="A187" s="1">
        <v>38820</v>
      </c>
      <c r="B187">
        <v>1.2094</v>
      </c>
      <c r="C187">
        <f t="shared" si="10"/>
        <v>-0.255997497252566</v>
      </c>
      <c r="D187">
        <f t="shared" si="11"/>
        <v>0.340157694130236</v>
      </c>
      <c r="E187">
        <f t="shared" si="12"/>
        <v>0.278836834134625</v>
      </c>
      <c r="F187">
        <f t="shared" si="14"/>
        <v>-0.442843073554621</v>
      </c>
      <c r="G187">
        <f t="shared" si="13"/>
        <v>-0.521049788544087</v>
      </c>
    </row>
    <row r="188" spans="1:7">
      <c r="A188" s="1">
        <v>38825</v>
      </c>
      <c r="B188">
        <v>1.2252</v>
      </c>
      <c r="C188">
        <f t="shared" si="10"/>
        <v>1.29797271195077</v>
      </c>
      <c r="D188">
        <f t="shared" si="11"/>
        <v>0.31269539657717</v>
      </c>
      <c r="E188">
        <f t="shared" si="12"/>
        <v>0.266383360016526</v>
      </c>
      <c r="F188">
        <f t="shared" si="14"/>
        <v>2.11262578428092</v>
      </c>
      <c r="G188">
        <f t="shared" si="13"/>
        <v>2.5008248319375</v>
      </c>
    </row>
    <row r="189" spans="1:7">
      <c r="A189" s="1">
        <v>38826</v>
      </c>
      <c r="B189">
        <v>1.2346</v>
      </c>
      <c r="C189">
        <f t="shared" si="10"/>
        <v>0.764293500117516</v>
      </c>
      <c r="D189">
        <f t="shared" si="11"/>
        <v>0.449899173016337</v>
      </c>
      <c r="E189">
        <f t="shared" si="12"/>
        <v>0.335637016463977</v>
      </c>
      <c r="F189">
        <f t="shared" si="14"/>
        <v>0.249829072758698</v>
      </c>
      <c r="G189">
        <f t="shared" si="13"/>
        <v>0.32434031127703</v>
      </c>
    </row>
    <row r="190" spans="1:7">
      <c r="A190" s="1">
        <v>38827</v>
      </c>
      <c r="B190">
        <v>1.2346</v>
      </c>
      <c r="C190">
        <f t="shared" si="10"/>
        <v>0</v>
      </c>
      <c r="D190">
        <f t="shared" si="11"/>
        <v>0.463323711146892</v>
      </c>
      <c r="E190">
        <f t="shared" si="12"/>
        <v>0.345706023192232</v>
      </c>
      <c r="F190">
        <f t="shared" si="14"/>
        <v>-0.38466465452501</v>
      </c>
      <c r="G190">
        <f t="shared" si="13"/>
        <v>-0.531083254514752</v>
      </c>
    </row>
    <row r="191" spans="1:7">
      <c r="A191" s="1">
        <v>38828</v>
      </c>
      <c r="B191">
        <v>1.2315</v>
      </c>
      <c r="C191">
        <f t="shared" si="10"/>
        <v>-0.251409239920282</v>
      </c>
      <c r="D191">
        <f t="shared" si="11"/>
        <v>0.416991340032203</v>
      </c>
      <c r="E191">
        <f t="shared" si="12"/>
        <v>0.325963661800698</v>
      </c>
      <c r="F191">
        <f t="shared" si="14"/>
        <v>-0.361556041160084</v>
      </c>
      <c r="G191">
        <f t="shared" si="13"/>
        <v>-0.463531231138278</v>
      </c>
    </row>
    <row r="192" spans="1:7">
      <c r="A192" s="1">
        <v>38831</v>
      </c>
      <c r="B192">
        <v>1.2365</v>
      </c>
      <c r="C192">
        <f t="shared" si="10"/>
        <v>0.40518694008781</v>
      </c>
      <c r="D192">
        <f t="shared" si="11"/>
        <v>0.381612866620712</v>
      </c>
      <c r="E192">
        <f t="shared" si="12"/>
        <v>0.310566172388521</v>
      </c>
      <c r="F192">
        <f t="shared" si="14"/>
        <v>-0.266565662132299</v>
      </c>
      <c r="G192">
        <f t="shared" si="13"/>
        <v>-0.320361146695033</v>
      </c>
    </row>
    <row r="193" spans="1:7">
      <c r="A193" s="1">
        <v>38832</v>
      </c>
      <c r="B193">
        <v>1.2425</v>
      </c>
      <c r="C193">
        <f t="shared" si="10"/>
        <v>0.484067100931284</v>
      </c>
      <c r="D193">
        <f t="shared" si="11"/>
        <v>0.359869225600413</v>
      </c>
      <c r="E193">
        <f t="shared" si="12"/>
        <v>0.301141024866096</v>
      </c>
      <c r="F193">
        <f t="shared" si="14"/>
        <v>-0.185443247474604</v>
      </c>
      <c r="G193">
        <f t="shared" si="13"/>
        <v>-0.211033109888577</v>
      </c>
    </row>
    <row r="194" spans="1:7">
      <c r="A194" s="1">
        <v>38833</v>
      </c>
      <c r="B194">
        <v>1.2425</v>
      </c>
      <c r="C194">
        <f t="shared" si="10"/>
        <v>0</v>
      </c>
      <c r="D194">
        <f t="shared" si="11"/>
        <v>0.347314398860773</v>
      </c>
      <c r="E194">
        <f t="shared" si="12"/>
        <v>0.295788611284331</v>
      </c>
      <c r="F194">
        <f t="shared" si="14"/>
        <v>-0.528762430329706</v>
      </c>
      <c r="G194">
        <f t="shared" si="13"/>
        <v>-0.609055115425936</v>
      </c>
    </row>
    <row r="195" spans="1:7">
      <c r="A195" s="1">
        <v>38834</v>
      </c>
      <c r="B195">
        <v>1.2414</v>
      </c>
      <c r="C195">
        <f t="shared" si="10"/>
        <v>-0.0885703991231392</v>
      </c>
      <c r="D195">
        <f t="shared" si="11"/>
        <v>0.312582958974696</v>
      </c>
      <c r="E195">
        <f t="shared" si="12"/>
        <v>0.279041294607271</v>
      </c>
      <c r="F195">
        <f t="shared" si="14"/>
        <v>-0.568894474355532</v>
      </c>
      <c r="G195">
        <f t="shared" si="13"/>
        <v>-0.624141199775691</v>
      </c>
    </row>
    <row r="196" spans="1:7">
      <c r="A196" s="1">
        <v>38835</v>
      </c>
      <c r="B196">
        <v>1.2537</v>
      </c>
      <c r="C196">
        <f t="shared" ref="C196:C259" si="15">100*LN(B196/B195)</f>
        <v>0.985940414242698</v>
      </c>
      <c r="D196">
        <f t="shared" si="11"/>
        <v>0.28210913463731</v>
      </c>
      <c r="E196">
        <f t="shared" si="12"/>
        <v>0.263691052710877</v>
      </c>
      <c r="F196">
        <f t="shared" si="14"/>
        <v>1.0901460429961</v>
      </c>
      <c r="G196">
        <f t="shared" si="13"/>
        <v>1.17672623909519</v>
      </c>
    </row>
    <row r="197" spans="1:7">
      <c r="A197" s="1">
        <v>38839</v>
      </c>
      <c r="B197">
        <v>1.2643</v>
      </c>
      <c r="C197">
        <f t="shared" si="15"/>
        <v>0.841943019587267</v>
      </c>
      <c r="D197">
        <f t="shared" ref="D197:D260" si="16">$J$1*D196+(1-$J$1)*C196^2</f>
        <v>0.351106071217285</v>
      </c>
      <c r="E197">
        <f t="shared" ref="E197:E260" si="17">$K$1+$K$2*C196^2+$K$3*E196</f>
        <v>0.297473514570077</v>
      </c>
      <c r="F197">
        <f t="shared" si="14"/>
        <v>0.486145030934192</v>
      </c>
      <c r="G197">
        <f t="shared" ref="G197:G260" si="18">0.5*(LN(E197)+C197^2/E197)</f>
        <v>0.585265902233539</v>
      </c>
    </row>
    <row r="198" spans="1:7">
      <c r="A198" s="1">
        <v>38840</v>
      </c>
      <c r="B198">
        <v>1.2622</v>
      </c>
      <c r="C198">
        <f t="shared" si="15"/>
        <v>-0.16623791677129</v>
      </c>
      <c r="D198">
        <f t="shared" si="16"/>
        <v>0.386882268918729</v>
      </c>
      <c r="E198">
        <f t="shared" si="17"/>
        <v>0.316068506107459</v>
      </c>
      <c r="F198">
        <f t="shared" si="14"/>
        <v>-0.439102365941977</v>
      </c>
      <c r="G198">
        <f t="shared" si="18"/>
        <v>-0.532181289166813</v>
      </c>
    </row>
    <row r="199" spans="1:7">
      <c r="A199" s="1">
        <v>38841</v>
      </c>
      <c r="B199">
        <v>1.2592</v>
      </c>
      <c r="C199">
        <f t="shared" si="15"/>
        <v>-0.237963148700029</v>
      </c>
      <c r="D199">
        <f t="shared" si="16"/>
        <v>0.350957546524102</v>
      </c>
      <c r="E199">
        <f t="shared" si="17"/>
        <v>0.299486147989634</v>
      </c>
      <c r="F199">
        <f t="shared" ref="F199:F262" si="19">0.5*(LN(D199)+C199^2/D199)</f>
        <v>-0.442870775765589</v>
      </c>
      <c r="G199">
        <f t="shared" si="18"/>
        <v>-0.508304192100568</v>
      </c>
    </row>
    <row r="200" spans="1:7">
      <c r="A200" s="1">
        <v>38842</v>
      </c>
      <c r="B200">
        <v>1.2688</v>
      </c>
      <c r="C200">
        <f t="shared" si="15"/>
        <v>0.759497321744455</v>
      </c>
      <c r="D200">
        <f t="shared" si="16"/>
        <v>0.321524437885615</v>
      </c>
      <c r="E200">
        <f t="shared" si="17"/>
        <v>0.285348302117218</v>
      </c>
      <c r="F200">
        <f t="shared" si="19"/>
        <v>0.329692322868909</v>
      </c>
      <c r="G200">
        <f t="shared" si="18"/>
        <v>0.383735674965799</v>
      </c>
    </row>
    <row r="201" spans="1:7">
      <c r="A201" s="1">
        <v>38845</v>
      </c>
      <c r="B201">
        <v>1.2756</v>
      </c>
      <c r="C201">
        <f t="shared" si="15"/>
        <v>0.534508425531922</v>
      </c>
      <c r="D201">
        <f t="shared" si="16"/>
        <v>0.347055612270754</v>
      </c>
      <c r="E201">
        <f t="shared" si="17"/>
        <v>0.298069213077035</v>
      </c>
      <c r="F201">
        <f t="shared" si="19"/>
        <v>-0.117530690057792</v>
      </c>
      <c r="G201">
        <f t="shared" si="18"/>
        <v>-0.125964920919005</v>
      </c>
    </row>
    <row r="202" spans="1:7">
      <c r="A202" s="1">
        <v>38846</v>
      </c>
      <c r="B202">
        <v>1.2697</v>
      </c>
      <c r="C202">
        <f t="shared" si="15"/>
        <v>-0.463600406015684</v>
      </c>
      <c r="D202">
        <f t="shared" si="16"/>
        <v>0.34091997674014</v>
      </c>
      <c r="E202">
        <f t="shared" si="17"/>
        <v>0.295470023140643</v>
      </c>
      <c r="F202">
        <f t="shared" si="19"/>
        <v>-0.222839989306133</v>
      </c>
      <c r="G202">
        <f t="shared" si="18"/>
        <v>-0.245893198580252</v>
      </c>
    </row>
    <row r="203" spans="1:7">
      <c r="A203" s="1">
        <v>38847</v>
      </c>
      <c r="B203">
        <v>1.2779</v>
      </c>
      <c r="C203">
        <f t="shared" si="15"/>
        <v>0.643745353891195</v>
      </c>
      <c r="D203">
        <f t="shared" si="16"/>
        <v>0.328320512711916</v>
      </c>
      <c r="E203">
        <f t="shared" si="17"/>
        <v>0.2894880885751</v>
      </c>
      <c r="F203">
        <f t="shared" si="19"/>
        <v>0.0742204510479265</v>
      </c>
      <c r="G203">
        <f t="shared" si="18"/>
        <v>0.0959395952560582</v>
      </c>
    </row>
    <row r="204" spans="1:7">
      <c r="A204" s="1">
        <v>38848</v>
      </c>
      <c r="B204">
        <v>1.2716</v>
      </c>
      <c r="C204">
        <f t="shared" si="15"/>
        <v>-0.494215557800999</v>
      </c>
      <c r="D204">
        <f t="shared" si="16"/>
        <v>0.336929269506375</v>
      </c>
      <c r="E204">
        <f t="shared" si="17"/>
        <v>0.293839207293419</v>
      </c>
      <c r="F204">
        <f t="shared" si="19"/>
        <v>-0.181477785475976</v>
      </c>
      <c r="G204">
        <f t="shared" si="18"/>
        <v>-0.196744495315074</v>
      </c>
    </row>
    <row r="205" spans="1:7">
      <c r="A205" s="1">
        <v>38849</v>
      </c>
      <c r="B205">
        <v>1.2914</v>
      </c>
      <c r="C205">
        <f t="shared" si="15"/>
        <v>1.54509511557191</v>
      </c>
      <c r="D205">
        <f t="shared" si="16"/>
        <v>0.327661244312992</v>
      </c>
      <c r="E205">
        <f t="shared" si="17"/>
        <v>0.289421305734441</v>
      </c>
      <c r="F205">
        <f t="shared" si="19"/>
        <v>3.08508059418611</v>
      </c>
      <c r="G205">
        <f t="shared" si="18"/>
        <v>3.50436119773191</v>
      </c>
    </row>
    <row r="206" spans="1:7">
      <c r="A206" s="1">
        <v>38852</v>
      </c>
      <c r="B206">
        <v>1.2826</v>
      </c>
      <c r="C206">
        <f t="shared" si="15"/>
        <v>-0.683763347760419</v>
      </c>
      <c r="D206">
        <f t="shared" si="16"/>
        <v>0.533627011498111</v>
      </c>
      <c r="E206">
        <f t="shared" si="17"/>
        <v>0.392421973198584</v>
      </c>
      <c r="F206">
        <f t="shared" si="19"/>
        <v>0.124041241883409</v>
      </c>
      <c r="G206">
        <f t="shared" si="18"/>
        <v>0.127992211882101</v>
      </c>
    </row>
    <row r="207" spans="1:7">
      <c r="A207" s="1">
        <v>38853</v>
      </c>
      <c r="B207">
        <v>1.2817</v>
      </c>
      <c r="C207">
        <f t="shared" si="15"/>
        <v>-0.0701945978984142</v>
      </c>
      <c r="D207">
        <f t="shared" si="16"/>
        <v>0.527017541922353</v>
      </c>
      <c r="E207">
        <f t="shared" si="17"/>
        <v>0.393253270593695</v>
      </c>
      <c r="F207">
        <f t="shared" si="19"/>
        <v>-0.315586037707468</v>
      </c>
      <c r="G207">
        <f t="shared" si="18"/>
        <v>-0.460385941407839</v>
      </c>
    </row>
    <row r="208" spans="1:7">
      <c r="A208" s="1">
        <v>38854</v>
      </c>
      <c r="B208">
        <v>1.2882</v>
      </c>
      <c r="C208">
        <f t="shared" si="15"/>
        <v>0.505857337701208</v>
      </c>
      <c r="D208">
        <f t="shared" si="16"/>
        <v>0.47480851588753</v>
      </c>
      <c r="E208">
        <f t="shared" si="17"/>
        <v>0.37090443843678</v>
      </c>
      <c r="F208">
        <f t="shared" si="19"/>
        <v>-0.102953583613432</v>
      </c>
      <c r="G208">
        <f t="shared" si="18"/>
        <v>-0.150949113092701</v>
      </c>
    </row>
    <row r="209" spans="1:7">
      <c r="A209" s="1">
        <v>38855</v>
      </c>
      <c r="B209">
        <v>1.277</v>
      </c>
      <c r="C209">
        <f t="shared" si="15"/>
        <v>-0.873231808025109</v>
      </c>
      <c r="D209">
        <f t="shared" si="16"/>
        <v>0.452916828909392</v>
      </c>
      <c r="E209">
        <f t="shared" si="17"/>
        <v>0.362444754435881</v>
      </c>
      <c r="F209">
        <f t="shared" si="19"/>
        <v>0.445779945570946</v>
      </c>
      <c r="G209">
        <f t="shared" si="18"/>
        <v>0.544489452583628</v>
      </c>
    </row>
    <row r="210" spans="1:7">
      <c r="A210" s="1">
        <v>38856</v>
      </c>
      <c r="B210">
        <v>1.2767</v>
      </c>
      <c r="C210">
        <f t="shared" si="15"/>
        <v>-0.0234953206234089</v>
      </c>
      <c r="D210">
        <f t="shared" si="16"/>
        <v>0.483878525073133</v>
      </c>
      <c r="E210">
        <f t="shared" si="17"/>
        <v>0.379824758697068</v>
      </c>
      <c r="F210">
        <f t="shared" si="19"/>
        <v>-0.362390270325107</v>
      </c>
      <c r="G210">
        <f t="shared" si="18"/>
        <v>-0.48329595647169</v>
      </c>
    </row>
    <row r="211" spans="1:7">
      <c r="A211" s="1">
        <v>38859</v>
      </c>
      <c r="B211">
        <v>1.2753</v>
      </c>
      <c r="C211">
        <f t="shared" si="15"/>
        <v>-0.109717879345092</v>
      </c>
      <c r="D211">
        <f t="shared" si="16"/>
        <v>0.43554587557494</v>
      </c>
      <c r="E211">
        <f t="shared" si="17"/>
        <v>0.358062874679804</v>
      </c>
      <c r="F211">
        <f t="shared" si="19"/>
        <v>-0.401758119351722</v>
      </c>
      <c r="G211">
        <f t="shared" si="18"/>
        <v>-0.496713425102016</v>
      </c>
    </row>
    <row r="212" spans="1:7">
      <c r="A212" s="1">
        <v>38860</v>
      </c>
      <c r="B212">
        <v>1.2841</v>
      </c>
      <c r="C212">
        <f t="shared" si="15"/>
        <v>0.687663880437409</v>
      </c>
      <c r="D212">
        <f t="shared" si="16"/>
        <v>0.393195089322244</v>
      </c>
      <c r="E212">
        <f t="shared" si="17"/>
        <v>0.338181002851415</v>
      </c>
      <c r="F212">
        <f t="shared" si="19"/>
        <v>0.134607352770546</v>
      </c>
      <c r="G212">
        <f t="shared" si="18"/>
        <v>0.157067599533599</v>
      </c>
    </row>
    <row r="213" spans="1:7">
      <c r="A213" s="1">
        <v>38861</v>
      </c>
      <c r="B213">
        <v>1.2851</v>
      </c>
      <c r="C213">
        <f t="shared" si="15"/>
        <v>0.0778452475867087</v>
      </c>
      <c r="D213">
        <f t="shared" si="16"/>
        <v>0.401163741635843</v>
      </c>
      <c r="E213">
        <f t="shared" si="17"/>
        <v>0.342534223303241</v>
      </c>
      <c r="F213">
        <f t="shared" si="19"/>
        <v>-0.449139921667456</v>
      </c>
      <c r="G213">
        <f t="shared" si="18"/>
        <v>-0.526846192085258</v>
      </c>
    </row>
    <row r="214" spans="1:7">
      <c r="A214" s="1">
        <v>38862</v>
      </c>
      <c r="B214">
        <v>1.2755</v>
      </c>
      <c r="C214">
        <f t="shared" si="15"/>
        <v>-0.749827773122922</v>
      </c>
      <c r="D214">
        <f t="shared" si="16"/>
        <v>0.361653355729442</v>
      </c>
      <c r="E214">
        <f t="shared" si="17"/>
        <v>0.323285164033639</v>
      </c>
      <c r="F214">
        <f t="shared" si="19"/>
        <v>0.268786713558664</v>
      </c>
      <c r="G214">
        <f t="shared" si="18"/>
        <v>0.304965216057734</v>
      </c>
    </row>
    <row r="215" spans="1:7">
      <c r="A215" s="1">
        <v>38863</v>
      </c>
      <c r="B215">
        <v>1.2797</v>
      </c>
      <c r="C215">
        <f t="shared" si="15"/>
        <v>0.328741686168406</v>
      </c>
      <c r="D215">
        <f t="shared" si="16"/>
        <v>0.381712189091146</v>
      </c>
      <c r="E215">
        <f t="shared" si="17"/>
        <v>0.333000138658944</v>
      </c>
      <c r="F215">
        <f t="shared" si="19"/>
        <v>-0.339983222069996</v>
      </c>
      <c r="G215">
        <f t="shared" si="18"/>
        <v>-0.387537340621405</v>
      </c>
    </row>
    <row r="216" spans="1:7">
      <c r="A216" s="1">
        <v>38866</v>
      </c>
      <c r="B216">
        <v>1.2758</v>
      </c>
      <c r="C216">
        <f t="shared" si="15"/>
        <v>-0.305224263569527</v>
      </c>
      <c r="D216">
        <f t="shared" si="16"/>
        <v>0.354348079804516</v>
      </c>
      <c r="E216">
        <f t="shared" si="17"/>
        <v>0.31942368515065</v>
      </c>
      <c r="F216">
        <f t="shared" si="19"/>
        <v>-0.387282507777938</v>
      </c>
      <c r="G216">
        <f t="shared" si="18"/>
        <v>-0.424790419179627</v>
      </c>
    </row>
    <row r="217" spans="1:7">
      <c r="A217" s="1">
        <v>38867</v>
      </c>
      <c r="B217">
        <v>1.2839</v>
      </c>
      <c r="C217">
        <f t="shared" si="15"/>
        <v>0.632888778918312</v>
      </c>
      <c r="D217">
        <f t="shared" si="16"/>
        <v>0.328229456931221</v>
      </c>
      <c r="E217">
        <f t="shared" si="17"/>
        <v>0.305916356595189</v>
      </c>
      <c r="F217">
        <f t="shared" si="19"/>
        <v>0.0531437531845839</v>
      </c>
      <c r="G217">
        <f t="shared" si="18"/>
        <v>0.062447704314172</v>
      </c>
    </row>
    <row r="218" spans="1:7">
      <c r="A218" s="1">
        <v>38868</v>
      </c>
      <c r="B218">
        <v>1.2868</v>
      </c>
      <c r="C218">
        <f t="shared" si="15"/>
        <v>0.22561957678332</v>
      </c>
      <c r="D218">
        <f t="shared" si="16"/>
        <v>0.33546133188617</v>
      </c>
      <c r="E218">
        <f t="shared" si="17"/>
        <v>0.308588785523513</v>
      </c>
      <c r="F218">
        <f t="shared" si="19"/>
        <v>-0.470252368090076</v>
      </c>
      <c r="G218">
        <f t="shared" si="18"/>
        <v>-0.505393832414737</v>
      </c>
    </row>
    <row r="219" spans="1:7">
      <c r="A219" s="1">
        <v>38869</v>
      </c>
      <c r="B219">
        <v>1.2736</v>
      </c>
      <c r="C219">
        <f t="shared" si="15"/>
        <v>-1.03109802747526</v>
      </c>
      <c r="D219">
        <f t="shared" si="16"/>
        <v>0.307005618040341</v>
      </c>
      <c r="E219">
        <f t="shared" si="17"/>
        <v>0.293618668063497</v>
      </c>
      <c r="F219">
        <f t="shared" si="19"/>
        <v>1.14105976024624</v>
      </c>
      <c r="G219">
        <f t="shared" si="18"/>
        <v>1.19771211955068</v>
      </c>
    </row>
    <row r="220" spans="1:7">
      <c r="A220" s="1">
        <v>38870</v>
      </c>
      <c r="B220">
        <v>1.2815</v>
      </c>
      <c r="C220">
        <f t="shared" si="15"/>
        <v>0.618373071400718</v>
      </c>
      <c r="D220">
        <f t="shared" si="16"/>
        <v>0.382621370462644</v>
      </c>
      <c r="E220">
        <f t="shared" si="17"/>
        <v>0.330159705092855</v>
      </c>
      <c r="F220">
        <f t="shared" si="19"/>
        <v>0.0193367669843342</v>
      </c>
      <c r="G220">
        <f t="shared" si="18"/>
        <v>0.0250019517085464</v>
      </c>
    </row>
    <row r="221" spans="1:7">
      <c r="A221" s="1">
        <v>38873</v>
      </c>
      <c r="B221">
        <v>1.2958</v>
      </c>
      <c r="C221">
        <f t="shared" si="15"/>
        <v>1.1096998211731</v>
      </c>
      <c r="D221">
        <f t="shared" si="16"/>
        <v>0.382597758959735</v>
      </c>
      <c r="E221">
        <f t="shared" si="17"/>
        <v>0.330469385558962</v>
      </c>
      <c r="F221">
        <f t="shared" si="19"/>
        <v>1.12892040143177</v>
      </c>
      <c r="G221">
        <f t="shared" si="18"/>
        <v>1.30953787830154</v>
      </c>
    </row>
    <row r="222" spans="1:7">
      <c r="A222" s="1">
        <v>38874</v>
      </c>
      <c r="B222">
        <v>1.2847</v>
      </c>
      <c r="C222">
        <f t="shared" si="15"/>
        <v>-0.860303697829298</v>
      </c>
      <c r="D222">
        <f t="shared" si="16"/>
        <v>0.467481352374923</v>
      </c>
      <c r="E222">
        <f t="shared" si="17"/>
        <v>0.373212907081005</v>
      </c>
      <c r="F222">
        <f t="shared" si="19"/>
        <v>0.411408481568648</v>
      </c>
      <c r="G222">
        <f t="shared" si="18"/>
        <v>0.498752160895983</v>
      </c>
    </row>
    <row r="223" spans="1:7">
      <c r="A223" s="1">
        <v>38875</v>
      </c>
      <c r="B223">
        <v>1.2789</v>
      </c>
      <c r="C223">
        <f t="shared" si="15"/>
        <v>-0.452489459828969</v>
      </c>
      <c r="D223">
        <f t="shared" si="16"/>
        <v>0.494745462387307</v>
      </c>
      <c r="E223">
        <f t="shared" si="17"/>
        <v>0.388826255281082</v>
      </c>
      <c r="F223">
        <f t="shared" si="19"/>
        <v>-0.144934670665695</v>
      </c>
      <c r="G223">
        <f t="shared" si="18"/>
        <v>-0.209023163587855</v>
      </c>
    </row>
    <row r="224" spans="1:7">
      <c r="A224" s="1">
        <v>38876</v>
      </c>
      <c r="B224">
        <v>1.2735</v>
      </c>
      <c r="C224">
        <f t="shared" si="15"/>
        <v>-0.423131801976247</v>
      </c>
      <c r="D224">
        <f t="shared" si="16"/>
        <v>0.465745587274207</v>
      </c>
      <c r="E224">
        <f t="shared" si="17"/>
        <v>0.376734015527033</v>
      </c>
      <c r="F224">
        <f t="shared" si="19"/>
        <v>-0.189849371547016</v>
      </c>
      <c r="G224">
        <f t="shared" si="18"/>
        <v>-0.250486012636925</v>
      </c>
    </row>
    <row r="225" spans="1:7">
      <c r="A225" s="1">
        <v>38877</v>
      </c>
      <c r="B225">
        <v>1.2659</v>
      </c>
      <c r="C225">
        <f t="shared" si="15"/>
        <v>-0.598568377672916</v>
      </c>
      <c r="D225">
        <f t="shared" si="16"/>
        <v>0.437075080731153</v>
      </c>
      <c r="E225">
        <f t="shared" si="17"/>
        <v>0.364082000687594</v>
      </c>
      <c r="F225">
        <f t="shared" si="19"/>
        <v>-0.00395951904806968</v>
      </c>
      <c r="G225">
        <f t="shared" si="18"/>
        <v>-0.0131504318380852</v>
      </c>
    </row>
    <row r="226" spans="1:7">
      <c r="A226" s="1">
        <v>38880</v>
      </c>
      <c r="B226">
        <v>1.2572</v>
      </c>
      <c r="C226">
        <f t="shared" si="15"/>
        <v>-0.689630571936998</v>
      </c>
      <c r="D226">
        <f t="shared" si="16"/>
        <v>0.429195982933037</v>
      </c>
      <c r="E226">
        <f t="shared" si="17"/>
        <v>0.361151285783838</v>
      </c>
      <c r="F226">
        <f t="shared" si="19"/>
        <v>0.131127155682144</v>
      </c>
      <c r="G226">
        <f t="shared" si="18"/>
        <v>0.149207261698053</v>
      </c>
    </row>
    <row r="227" spans="1:7">
      <c r="A227" s="1">
        <v>38881</v>
      </c>
      <c r="B227">
        <v>1.2571</v>
      </c>
      <c r="C227">
        <f t="shared" si="15"/>
        <v>-0.00795450026271064</v>
      </c>
      <c r="D227">
        <f t="shared" si="16"/>
        <v>0.433835417214748</v>
      </c>
      <c r="E227">
        <f t="shared" si="17"/>
        <v>0.364261724924315</v>
      </c>
      <c r="F227">
        <f t="shared" si="19"/>
        <v>-0.417472095852636</v>
      </c>
      <c r="G227">
        <f t="shared" si="18"/>
        <v>-0.504854470112831</v>
      </c>
    </row>
    <row r="228" spans="1:7">
      <c r="A228" s="1">
        <v>38882</v>
      </c>
      <c r="B228">
        <v>1.2563</v>
      </c>
      <c r="C228">
        <f t="shared" si="15"/>
        <v>-0.0636587910413362</v>
      </c>
      <c r="D228">
        <f t="shared" si="16"/>
        <v>0.390458202900716</v>
      </c>
      <c r="E228">
        <f t="shared" si="17"/>
        <v>0.343409185132578</v>
      </c>
      <c r="F228">
        <f t="shared" si="19"/>
        <v>-0.465027833930139</v>
      </c>
      <c r="G228">
        <f t="shared" si="18"/>
        <v>-0.52851598107721</v>
      </c>
    </row>
    <row r="229" spans="1:7">
      <c r="A229" s="1">
        <v>38883</v>
      </c>
      <c r="B229">
        <v>1.261</v>
      </c>
      <c r="C229">
        <f t="shared" si="15"/>
        <v>0.373416395454727</v>
      </c>
      <c r="D229">
        <f t="shared" si="16"/>
        <v>0.351817626778329</v>
      </c>
      <c r="E229">
        <f t="shared" si="17"/>
        <v>0.324007256108465</v>
      </c>
      <c r="F229">
        <f t="shared" si="19"/>
        <v>-0.32415059441171</v>
      </c>
      <c r="G229">
        <f t="shared" si="18"/>
        <v>-0.348314619740206</v>
      </c>
    </row>
    <row r="230" spans="1:7">
      <c r="A230" s="1">
        <v>38884</v>
      </c>
      <c r="B230">
        <v>1.2651</v>
      </c>
      <c r="C230">
        <f t="shared" si="15"/>
        <v>0.32461134557043</v>
      </c>
      <c r="D230">
        <f t="shared" si="16"/>
        <v>0.330579844539936</v>
      </c>
      <c r="E230">
        <f t="shared" si="17"/>
        <v>0.312538810961678</v>
      </c>
      <c r="F230">
        <f t="shared" si="19"/>
        <v>-0.394078228038294</v>
      </c>
      <c r="G230">
        <f t="shared" si="18"/>
        <v>-0.412938206341262</v>
      </c>
    </row>
    <row r="231" spans="1:7">
      <c r="A231" s="1">
        <v>38887</v>
      </c>
      <c r="B231">
        <v>1.2591</v>
      </c>
      <c r="C231">
        <f t="shared" si="15"/>
        <v>-0.475399041296887</v>
      </c>
      <c r="D231">
        <f t="shared" si="16"/>
        <v>0.308059112653247</v>
      </c>
      <c r="E231">
        <f t="shared" si="17"/>
        <v>0.300055108587629</v>
      </c>
      <c r="F231">
        <f t="shared" si="19"/>
        <v>-0.221912182929088</v>
      </c>
      <c r="G231">
        <f t="shared" si="18"/>
        <v>-0.225289995994477</v>
      </c>
    </row>
    <row r="232" spans="1:7">
      <c r="A232" s="1">
        <v>38888</v>
      </c>
      <c r="B232">
        <v>1.2546</v>
      </c>
      <c r="C232">
        <f t="shared" si="15"/>
        <v>-0.358038334501209</v>
      </c>
      <c r="D232">
        <f t="shared" si="16"/>
        <v>0.299853626234522</v>
      </c>
      <c r="E232">
        <f t="shared" si="17"/>
        <v>0.294352014495671</v>
      </c>
      <c r="F232">
        <f t="shared" si="19"/>
        <v>-0.388473708437226</v>
      </c>
      <c r="G232">
        <f t="shared" si="18"/>
        <v>-0.393737502057203</v>
      </c>
    </row>
    <row r="233" spans="1:7">
      <c r="A233" s="1">
        <v>38889</v>
      </c>
      <c r="B233">
        <v>1.2632</v>
      </c>
      <c r="C233">
        <f t="shared" si="15"/>
        <v>0.68313872787895</v>
      </c>
      <c r="D233">
        <f t="shared" si="16"/>
        <v>0.28268740850831</v>
      </c>
      <c r="E233">
        <f t="shared" si="17"/>
        <v>0.284100466074551</v>
      </c>
      <c r="F233">
        <f t="shared" si="19"/>
        <v>0.193725320589109</v>
      </c>
      <c r="G233">
        <f t="shared" si="18"/>
        <v>0.192112893188591</v>
      </c>
    </row>
    <row r="234" spans="1:7">
      <c r="A234" s="1">
        <v>38890</v>
      </c>
      <c r="B234">
        <v>1.2582</v>
      </c>
      <c r="C234">
        <f t="shared" si="15"/>
        <v>-0.396605580550313</v>
      </c>
      <c r="D234">
        <f t="shared" si="16"/>
        <v>0.301086519810286</v>
      </c>
      <c r="E234">
        <f t="shared" si="17"/>
        <v>0.291388364186481</v>
      </c>
      <c r="F234">
        <f t="shared" si="19"/>
        <v>-0.338964876647833</v>
      </c>
      <c r="G234">
        <f t="shared" si="18"/>
        <v>-0.346641355150763</v>
      </c>
    </row>
    <row r="235" spans="1:7">
      <c r="A235" s="1">
        <v>38891</v>
      </c>
      <c r="B235">
        <v>1.2502</v>
      </c>
      <c r="C235">
        <f t="shared" si="15"/>
        <v>-0.637858963821731</v>
      </c>
      <c r="D235">
        <f t="shared" si="16"/>
        <v>0.286707466481623</v>
      </c>
      <c r="E235">
        <f t="shared" si="17"/>
        <v>0.282769861661475</v>
      </c>
      <c r="F235">
        <f t="shared" si="19"/>
        <v>0.084899194483022</v>
      </c>
      <c r="G235">
        <f t="shared" si="18"/>
        <v>0.0878651747619995</v>
      </c>
    </row>
    <row r="236" spans="1:7">
      <c r="A236" s="1">
        <v>38894</v>
      </c>
      <c r="B236">
        <v>1.2561</v>
      </c>
      <c r="C236">
        <f t="shared" si="15"/>
        <v>0.470814419549535</v>
      </c>
      <c r="D236">
        <f t="shared" si="16"/>
        <v>0.298723125606234</v>
      </c>
      <c r="E236">
        <f t="shared" si="17"/>
        <v>0.287146872848173</v>
      </c>
      <c r="F236">
        <f t="shared" si="19"/>
        <v>-0.233096206559229</v>
      </c>
      <c r="G236">
        <f t="shared" si="18"/>
        <v>-0.237900167832268</v>
      </c>
    </row>
    <row r="237" spans="1:7">
      <c r="A237" s="1">
        <v>38895</v>
      </c>
      <c r="B237">
        <v>1.2567</v>
      </c>
      <c r="C237">
        <f t="shared" si="15"/>
        <v>0.0477554927891521</v>
      </c>
      <c r="D237">
        <f t="shared" si="16"/>
        <v>0.291017434811187</v>
      </c>
      <c r="E237">
        <f t="shared" si="17"/>
        <v>0.282001371360071</v>
      </c>
      <c r="F237">
        <f t="shared" si="19"/>
        <v>-0.613267750319722</v>
      </c>
      <c r="G237">
        <f t="shared" si="18"/>
        <v>-0.628878098068327</v>
      </c>
    </row>
    <row r="238" spans="1:7">
      <c r="A238" s="1">
        <v>38896</v>
      </c>
      <c r="B238">
        <v>1.257</v>
      </c>
      <c r="C238">
        <f t="shared" si="15"/>
        <v>0.023869196914843</v>
      </c>
      <c r="D238">
        <f t="shared" si="16"/>
        <v>0.262143750039222</v>
      </c>
      <c r="E238">
        <f t="shared" si="17"/>
        <v>0.266195318433043</v>
      </c>
      <c r="F238">
        <f t="shared" si="19"/>
        <v>-0.668344439602949</v>
      </c>
      <c r="G238">
        <f t="shared" si="18"/>
        <v>-0.660692328559386</v>
      </c>
    </row>
    <row r="239" spans="1:7">
      <c r="A239" s="1">
        <v>38897</v>
      </c>
      <c r="B239">
        <v>1.2529</v>
      </c>
      <c r="C239">
        <f t="shared" si="15"/>
        <v>-0.326706533874041</v>
      </c>
      <c r="D239">
        <f t="shared" si="16"/>
        <v>0.235986348891435</v>
      </c>
      <c r="E239">
        <f t="shared" si="17"/>
        <v>0.251252086255129</v>
      </c>
      <c r="F239">
        <f t="shared" si="19"/>
        <v>-0.495839528927691</v>
      </c>
      <c r="G239">
        <f t="shared" si="18"/>
        <v>-0.478238764555681</v>
      </c>
    </row>
    <row r="240" spans="1:7">
      <c r="A240" s="1">
        <v>38898</v>
      </c>
      <c r="B240">
        <v>1.2713</v>
      </c>
      <c r="C240">
        <f t="shared" si="15"/>
        <v>1.457913470457</v>
      </c>
      <c r="D240">
        <f t="shared" si="16"/>
        <v>0.223061429929891</v>
      </c>
      <c r="E240">
        <f t="shared" si="17"/>
        <v>0.242513819043621</v>
      </c>
      <c r="F240">
        <f t="shared" si="19"/>
        <v>4.01425478034446</v>
      </c>
      <c r="G240">
        <f t="shared" si="18"/>
        <v>3.67390030646217</v>
      </c>
    </row>
    <row r="241" spans="1:7">
      <c r="A241" s="1">
        <v>38901</v>
      </c>
      <c r="B241">
        <v>1.279</v>
      </c>
      <c r="C241">
        <f t="shared" si="15"/>
        <v>0.603852362276577</v>
      </c>
      <c r="D241">
        <f t="shared" si="16"/>
        <v>0.413306455670898</v>
      </c>
      <c r="E241">
        <f t="shared" si="17"/>
        <v>0.335238574268001</v>
      </c>
      <c r="F241">
        <f t="shared" si="19"/>
        <v>-0.000660321966903743</v>
      </c>
      <c r="G241">
        <f t="shared" si="18"/>
        <v>-0.00260839075328734</v>
      </c>
    </row>
    <row r="242" spans="1:7">
      <c r="A242" s="1">
        <v>38902</v>
      </c>
      <c r="B242">
        <v>1.2791</v>
      </c>
      <c r="C242">
        <f t="shared" si="15"/>
        <v>0.00781830265046613</v>
      </c>
      <c r="D242">
        <f t="shared" si="16"/>
        <v>0.408439577646508</v>
      </c>
      <c r="E242">
        <f t="shared" si="17"/>
        <v>0.334356143583271</v>
      </c>
      <c r="F242">
        <f t="shared" si="19"/>
        <v>-0.447630815662442</v>
      </c>
      <c r="G242">
        <f t="shared" si="18"/>
        <v>-0.547682869667553</v>
      </c>
    </row>
    <row r="243" spans="1:7">
      <c r="A243" s="1">
        <v>38903</v>
      </c>
      <c r="B243">
        <v>1.2794</v>
      </c>
      <c r="C243">
        <f t="shared" si="15"/>
        <v>0.0234512410689911</v>
      </c>
      <c r="D243">
        <f t="shared" si="16"/>
        <v>0.367601732467491</v>
      </c>
      <c r="E243">
        <f t="shared" si="17"/>
        <v>0.315297831261092</v>
      </c>
      <c r="F243">
        <f t="shared" si="19"/>
        <v>-0.499629549012029</v>
      </c>
      <c r="G243">
        <f t="shared" si="18"/>
        <v>-0.57624666648491</v>
      </c>
    </row>
    <row r="244" spans="1:7">
      <c r="A244" s="1">
        <v>38904</v>
      </c>
      <c r="B244">
        <v>1.2735</v>
      </c>
      <c r="C244">
        <f t="shared" si="15"/>
        <v>-0.462220259652554</v>
      </c>
      <c r="D244">
        <f t="shared" si="16"/>
        <v>0.330896555291509</v>
      </c>
      <c r="E244">
        <f t="shared" si="17"/>
        <v>0.29740745942081</v>
      </c>
      <c r="F244">
        <f t="shared" si="19"/>
        <v>-0.23014337937287</v>
      </c>
      <c r="G244">
        <f t="shared" si="18"/>
        <v>-0.247142810167688</v>
      </c>
    </row>
    <row r="245" spans="1:7">
      <c r="A245" s="1">
        <v>38905</v>
      </c>
      <c r="B245">
        <v>1.2778</v>
      </c>
      <c r="C245">
        <f t="shared" si="15"/>
        <v>0.337083374873121</v>
      </c>
      <c r="D245">
        <f t="shared" si="16"/>
        <v>0.319171656605686</v>
      </c>
      <c r="E245">
        <f t="shared" si="17"/>
        <v>0.291245390277225</v>
      </c>
      <c r="F245">
        <f t="shared" si="19"/>
        <v>-0.393012962311605</v>
      </c>
      <c r="G245">
        <f t="shared" si="18"/>
        <v>-0.4217267395856</v>
      </c>
    </row>
    <row r="246" spans="1:7">
      <c r="A246" s="1">
        <v>38908</v>
      </c>
      <c r="B246">
        <v>1.2752</v>
      </c>
      <c r="C246">
        <f t="shared" si="15"/>
        <v>-0.203682013229239</v>
      </c>
      <c r="D246">
        <f t="shared" si="16"/>
        <v>0.298617011106703</v>
      </c>
      <c r="E246">
        <f t="shared" si="17"/>
        <v>0.280451926941384</v>
      </c>
      <c r="F246">
        <f t="shared" si="19"/>
        <v>-0.534832548226798</v>
      </c>
      <c r="G246">
        <f t="shared" si="18"/>
        <v>-0.561713064657836</v>
      </c>
    </row>
    <row r="247" spans="1:7">
      <c r="A247" s="1">
        <v>38909</v>
      </c>
      <c r="B247">
        <v>1.2736</v>
      </c>
      <c r="C247">
        <f t="shared" si="15"/>
        <v>-0.125549294583187</v>
      </c>
      <c r="D247">
        <f t="shared" si="16"/>
        <v>0.272903946247344</v>
      </c>
      <c r="E247">
        <f t="shared" si="17"/>
        <v>0.266699129450557</v>
      </c>
      <c r="F247">
        <f t="shared" si="19"/>
        <v>-0.620438257150349</v>
      </c>
      <c r="G247">
        <f t="shared" si="18"/>
        <v>-0.631265730850119</v>
      </c>
    </row>
    <row r="248" spans="1:7">
      <c r="A248" s="1">
        <v>38910</v>
      </c>
      <c r="B248">
        <v>1.2722</v>
      </c>
      <c r="C248">
        <f t="shared" si="15"/>
        <v>-0.10998508454148</v>
      </c>
      <c r="D248">
        <f t="shared" si="16"/>
        <v>0.247189814159643</v>
      </c>
      <c r="E248">
        <f t="shared" si="17"/>
        <v>0.25248531295204</v>
      </c>
      <c r="F248">
        <f t="shared" si="19"/>
        <v>-0.674330897986771</v>
      </c>
      <c r="G248">
        <f t="shared" si="18"/>
        <v>-0.664245807189758</v>
      </c>
    </row>
    <row r="249" spans="1:7">
      <c r="A249" s="1">
        <v>38911</v>
      </c>
      <c r="B249">
        <v>1.2692</v>
      </c>
      <c r="C249">
        <f t="shared" si="15"/>
        <v>-0.236090453566325</v>
      </c>
      <c r="D249">
        <f t="shared" si="16"/>
        <v>0.223680504625838</v>
      </c>
      <c r="E249">
        <f t="shared" si="17"/>
        <v>0.238941030115998</v>
      </c>
      <c r="F249">
        <f t="shared" si="19"/>
        <v>-0.624173824437103</v>
      </c>
      <c r="G249">
        <f t="shared" si="18"/>
        <v>-0.599132304448179</v>
      </c>
    </row>
    <row r="250" spans="1:7">
      <c r="A250" s="1">
        <v>38912</v>
      </c>
      <c r="B250">
        <v>1.2666</v>
      </c>
      <c r="C250">
        <f t="shared" si="15"/>
        <v>-0.205063562671065</v>
      </c>
      <c r="D250">
        <f t="shared" si="16"/>
        <v>0.20688632438977</v>
      </c>
      <c r="E250">
        <f t="shared" si="17"/>
        <v>0.228391503422295</v>
      </c>
      <c r="F250">
        <f t="shared" si="19"/>
        <v>-0.686164466896047</v>
      </c>
      <c r="G250">
        <f t="shared" si="18"/>
        <v>-0.646287830601464</v>
      </c>
    </row>
    <row r="251" spans="1:7">
      <c r="A251" s="1">
        <v>38915</v>
      </c>
      <c r="B251">
        <v>1.2541</v>
      </c>
      <c r="C251">
        <f t="shared" si="15"/>
        <v>-0.991796125232587</v>
      </c>
      <c r="D251">
        <f t="shared" si="16"/>
        <v>0.190402798424328</v>
      </c>
      <c r="E251">
        <f t="shared" si="17"/>
        <v>0.217790566453725</v>
      </c>
      <c r="F251">
        <f t="shared" si="19"/>
        <v>1.75379489017839</v>
      </c>
      <c r="G251">
        <f t="shared" si="18"/>
        <v>1.49615873264086</v>
      </c>
    </row>
    <row r="252" spans="1:7">
      <c r="A252" s="1">
        <v>38916</v>
      </c>
      <c r="B252">
        <v>1.2531</v>
      </c>
      <c r="C252">
        <f t="shared" si="15"/>
        <v>-0.0797702658764614</v>
      </c>
      <c r="D252">
        <f t="shared" si="16"/>
        <v>0.269728473984532</v>
      </c>
      <c r="E252">
        <f t="shared" si="17"/>
        <v>0.25490611016782</v>
      </c>
      <c r="F252">
        <f t="shared" si="19"/>
        <v>-0.643373996320412</v>
      </c>
      <c r="G252">
        <f t="shared" si="18"/>
        <v>-0.670948353194513</v>
      </c>
    </row>
    <row r="253" spans="1:7">
      <c r="A253" s="1">
        <v>38917</v>
      </c>
      <c r="B253">
        <v>1.2482</v>
      </c>
      <c r="C253">
        <f t="shared" si="15"/>
        <v>-0.391796767129684</v>
      </c>
      <c r="D253">
        <f t="shared" si="16"/>
        <v>0.243391956117879</v>
      </c>
      <c r="E253">
        <f t="shared" si="17"/>
        <v>0.240929908323651</v>
      </c>
      <c r="F253">
        <f t="shared" si="19"/>
        <v>-0.391196414644188</v>
      </c>
      <c r="G253">
        <f t="shared" si="18"/>
        <v>-0.393057465955365</v>
      </c>
    </row>
    <row r="254" spans="1:7">
      <c r="A254" s="1">
        <v>38918</v>
      </c>
      <c r="B254">
        <v>1.2643</v>
      </c>
      <c r="C254">
        <f t="shared" si="15"/>
        <v>1.28160958179093</v>
      </c>
      <c r="D254">
        <f t="shared" si="16"/>
        <v>0.234403231179419</v>
      </c>
      <c r="E254">
        <f t="shared" si="17"/>
        <v>0.235149349160896</v>
      </c>
      <c r="F254">
        <f t="shared" si="19"/>
        <v>2.7782710821902</v>
      </c>
      <c r="G254">
        <f t="shared" si="18"/>
        <v>2.76874323428361</v>
      </c>
    </row>
    <row r="255" spans="1:7">
      <c r="A255" s="1">
        <v>38919</v>
      </c>
      <c r="B255">
        <v>1.268</v>
      </c>
      <c r="C255">
        <f t="shared" si="15"/>
        <v>0.292224667931926</v>
      </c>
      <c r="D255">
        <f t="shared" si="16"/>
        <v>0.375215220075309</v>
      </c>
      <c r="E255">
        <f t="shared" si="17"/>
        <v>0.304166544218158</v>
      </c>
      <c r="F255">
        <f t="shared" si="19"/>
        <v>-0.376332715924232</v>
      </c>
      <c r="G255">
        <f t="shared" si="18"/>
        <v>-0.454714121682535</v>
      </c>
    </row>
    <row r="256" spans="1:7">
      <c r="A256" s="1">
        <v>38922</v>
      </c>
      <c r="B256">
        <v>1.2633</v>
      </c>
      <c r="C256">
        <f t="shared" si="15"/>
        <v>-0.371351116117938</v>
      </c>
      <c r="D256">
        <f t="shared" si="16"/>
        <v>0.346233223722571</v>
      </c>
      <c r="E256">
        <f t="shared" si="17"/>
        <v>0.291186314392465</v>
      </c>
      <c r="F256">
        <f t="shared" si="19"/>
        <v>-0.331175729365414</v>
      </c>
      <c r="G256">
        <f t="shared" si="18"/>
        <v>-0.380103170169364</v>
      </c>
    </row>
    <row r="257" spans="1:7">
      <c r="A257" s="1">
        <v>38923</v>
      </c>
      <c r="B257">
        <v>1.2636</v>
      </c>
      <c r="C257">
        <f t="shared" si="15"/>
        <v>0.0237445091938211</v>
      </c>
      <c r="D257">
        <f t="shared" si="16"/>
        <v>0.325400066494518</v>
      </c>
      <c r="E257">
        <f t="shared" si="17"/>
        <v>0.281610218101019</v>
      </c>
      <c r="F257">
        <f t="shared" si="19"/>
        <v>-0.560483619086683</v>
      </c>
      <c r="G257">
        <f t="shared" si="18"/>
        <v>-0.632614652677251</v>
      </c>
    </row>
    <row r="258" spans="1:7">
      <c r="A258" s="1">
        <v>38924</v>
      </c>
      <c r="B258">
        <v>1.2587</v>
      </c>
      <c r="C258">
        <f t="shared" si="15"/>
        <v>-0.3885347630471</v>
      </c>
      <c r="D258">
        <f t="shared" si="16"/>
        <v>0.292916440016751</v>
      </c>
      <c r="E258">
        <f t="shared" si="17"/>
        <v>0.265741795100801</v>
      </c>
      <c r="F258">
        <f t="shared" si="19"/>
        <v>-0.356250798813824</v>
      </c>
      <c r="G258">
        <f t="shared" si="18"/>
        <v>-0.378581346766563</v>
      </c>
    </row>
    <row r="259" spans="1:7">
      <c r="A259" s="1">
        <v>38925</v>
      </c>
      <c r="B259">
        <v>1.2737</v>
      </c>
      <c r="C259">
        <f t="shared" si="15"/>
        <v>1.18466082982546</v>
      </c>
      <c r="D259">
        <f t="shared" si="16"/>
        <v>0.278720722224683</v>
      </c>
      <c r="E259">
        <f t="shared" si="17"/>
        <v>0.258345250499556</v>
      </c>
      <c r="F259">
        <f t="shared" si="19"/>
        <v>1.87883952426015</v>
      </c>
      <c r="G259">
        <f t="shared" si="18"/>
        <v>2.03944475102138</v>
      </c>
    </row>
    <row r="260" spans="1:7">
      <c r="A260" s="1">
        <v>38926</v>
      </c>
      <c r="B260">
        <v>1.2664</v>
      </c>
      <c r="C260">
        <f t="shared" ref="C260:C323" si="20">100*LN(B260/B259)</f>
        <v>-0.574782102891151</v>
      </c>
      <c r="D260">
        <f t="shared" si="16"/>
        <v>0.39119077817449</v>
      </c>
      <c r="E260">
        <f t="shared" si="17"/>
        <v>0.31401559955572</v>
      </c>
      <c r="F260">
        <f t="shared" si="19"/>
        <v>-0.0470122501295603</v>
      </c>
      <c r="G260">
        <f t="shared" si="18"/>
        <v>-0.0531084510806841</v>
      </c>
    </row>
    <row r="261" spans="1:7">
      <c r="A261" s="1">
        <v>38929</v>
      </c>
      <c r="B261">
        <v>1.2767</v>
      </c>
      <c r="C261">
        <f t="shared" si="20"/>
        <v>0.810039425950274</v>
      </c>
      <c r="D261">
        <f t="shared" ref="D261:D324" si="21">$J$1*D260+(1-$J$1)*C260^2</f>
        <v>0.385109146937438</v>
      </c>
      <c r="E261">
        <f t="shared" ref="E261:E324" si="22">$K$1+$K$2*C260^2+$K$3*E260</f>
        <v>0.312693386872576</v>
      </c>
      <c r="F261">
        <f t="shared" si="19"/>
        <v>0.374805111140847</v>
      </c>
      <c r="G261">
        <f t="shared" ref="G261:G324" si="23">0.5*(LN(E261)+C261^2/E261)</f>
        <v>0.467946820137253</v>
      </c>
    </row>
    <row r="262" spans="1:7">
      <c r="A262" s="1">
        <v>38930</v>
      </c>
      <c r="B262">
        <v>1.2759</v>
      </c>
      <c r="C262">
        <f t="shared" si="20"/>
        <v>-0.0626811898607504</v>
      </c>
      <c r="D262">
        <f t="shared" si="21"/>
        <v>0.412214619403079</v>
      </c>
      <c r="E262">
        <f t="shared" si="22"/>
        <v>0.327739977239913</v>
      </c>
      <c r="F262">
        <f t="shared" si="19"/>
        <v>-0.438339933884167</v>
      </c>
      <c r="G262">
        <f t="shared" si="23"/>
        <v>-0.551773391973283</v>
      </c>
    </row>
    <row r="263" spans="1:7">
      <c r="A263" s="1">
        <v>38931</v>
      </c>
      <c r="B263">
        <v>1.2798</v>
      </c>
      <c r="C263">
        <f t="shared" si="20"/>
        <v>0.305200377766225</v>
      </c>
      <c r="D263">
        <f t="shared" si="21"/>
        <v>0.371386050619007</v>
      </c>
      <c r="E263">
        <f t="shared" si="22"/>
        <v>0.309272025183637</v>
      </c>
      <c r="F263">
        <f t="shared" ref="F263:F326" si="24">0.5*(LN(D263)+C263^2/D263)</f>
        <v>-0.369851682038363</v>
      </c>
      <c r="G263">
        <f t="shared" si="23"/>
        <v>-0.436175857150226</v>
      </c>
    </row>
    <row r="264" spans="1:7">
      <c r="A264" s="1">
        <v>38932</v>
      </c>
      <c r="B264">
        <v>1.2781</v>
      </c>
      <c r="C264">
        <f t="shared" si="20"/>
        <v>-0.132921556769124</v>
      </c>
      <c r="D264">
        <f t="shared" si="21"/>
        <v>0.343562172615971</v>
      </c>
      <c r="E264">
        <f t="shared" si="22"/>
        <v>0.296373067202051</v>
      </c>
      <c r="F264">
        <f t="shared" si="24"/>
        <v>-0.508480430188505</v>
      </c>
      <c r="G264">
        <f t="shared" si="23"/>
        <v>-0.57826086447667</v>
      </c>
    </row>
    <row r="265" spans="1:7">
      <c r="A265" s="1">
        <v>38933</v>
      </c>
      <c r="B265">
        <v>1.2792</v>
      </c>
      <c r="C265">
        <f t="shared" si="20"/>
        <v>0.0860282382075718</v>
      </c>
      <c r="D265">
        <f t="shared" si="21"/>
        <v>0.310972769379767</v>
      </c>
      <c r="E265">
        <f t="shared" si="22"/>
        <v>0.280474090182624</v>
      </c>
      <c r="F265">
        <f t="shared" si="24"/>
        <v>-0.572125437389124</v>
      </c>
      <c r="G265">
        <f t="shared" si="23"/>
        <v>-0.622443485679496</v>
      </c>
    </row>
    <row r="266" spans="1:7">
      <c r="A266" s="1">
        <v>38936</v>
      </c>
      <c r="B266">
        <v>1.285</v>
      </c>
      <c r="C266">
        <f t="shared" si="20"/>
        <v>0.452383580957562</v>
      </c>
      <c r="D266">
        <f t="shared" si="21"/>
        <v>0.2806155782187</v>
      </c>
      <c r="E266">
        <f t="shared" si="22"/>
        <v>0.265015687660122</v>
      </c>
      <c r="F266">
        <f t="shared" si="24"/>
        <v>-0.270738426960436</v>
      </c>
      <c r="G266">
        <f t="shared" si="23"/>
        <v>-0.277872203551018</v>
      </c>
    </row>
    <row r="267" spans="1:7">
      <c r="A267" s="1">
        <v>38937</v>
      </c>
      <c r="B267">
        <v>1.2839</v>
      </c>
      <c r="C267">
        <f t="shared" si="20"/>
        <v>-0.085639773228215</v>
      </c>
      <c r="D267">
        <f t="shared" si="21"/>
        <v>0.273019110828829</v>
      </c>
      <c r="E267">
        <f t="shared" si="22"/>
        <v>0.260347291616514</v>
      </c>
      <c r="F267">
        <f t="shared" si="24"/>
        <v>-0.635675134682013</v>
      </c>
      <c r="G267">
        <f t="shared" si="23"/>
        <v>-0.658784040942386</v>
      </c>
    </row>
    <row r="268" spans="1:7">
      <c r="A268" s="1">
        <v>38938</v>
      </c>
      <c r="B268">
        <v>1.2879</v>
      </c>
      <c r="C268">
        <f t="shared" si="20"/>
        <v>0.311066430158669</v>
      </c>
      <c r="D268">
        <f t="shared" si="21"/>
        <v>0.246450616821804</v>
      </c>
      <c r="E268">
        <f t="shared" si="22"/>
        <v>0.246093162657452</v>
      </c>
      <c r="F268">
        <f t="shared" si="24"/>
        <v>-0.503985030485057</v>
      </c>
      <c r="G268">
        <f t="shared" si="23"/>
        <v>-0.504425615413994</v>
      </c>
    </row>
    <row r="269" spans="1:7">
      <c r="A269" s="1">
        <v>38939</v>
      </c>
      <c r="B269">
        <v>1.2857</v>
      </c>
      <c r="C269">
        <f t="shared" si="20"/>
        <v>-0.170966780842146</v>
      </c>
      <c r="D269">
        <f t="shared" si="21"/>
        <v>0.231481787536789</v>
      </c>
      <c r="E269">
        <f t="shared" si="22"/>
        <v>0.237165689096588</v>
      </c>
      <c r="F269">
        <f t="shared" si="24"/>
        <v>-0.66849110079743</v>
      </c>
      <c r="G269">
        <f t="shared" si="23"/>
        <v>-0.657875309647601</v>
      </c>
    </row>
    <row r="270" spans="1:7">
      <c r="A270" s="1">
        <v>38940</v>
      </c>
      <c r="B270">
        <v>1.2775</v>
      </c>
      <c r="C270">
        <f t="shared" si="20"/>
        <v>-0.639827401234367</v>
      </c>
      <c r="D270">
        <f t="shared" si="21"/>
        <v>0.211256572798263</v>
      </c>
      <c r="E270">
        <f t="shared" si="22"/>
        <v>0.225397229758369</v>
      </c>
      <c r="F270">
        <f t="shared" si="24"/>
        <v>0.191573527018239</v>
      </c>
      <c r="G270">
        <f t="shared" si="23"/>
        <v>0.163182588064323</v>
      </c>
    </row>
    <row r="271" spans="1:7">
      <c r="A271" s="1">
        <v>38943</v>
      </c>
      <c r="B271">
        <v>1.2718</v>
      </c>
      <c r="C271">
        <f t="shared" si="20"/>
        <v>-0.447182324455215</v>
      </c>
      <c r="D271">
        <f t="shared" si="21"/>
        <v>0.231068825855469</v>
      </c>
      <c r="E271">
        <f t="shared" si="22"/>
        <v>0.233342351141383</v>
      </c>
      <c r="F271">
        <f t="shared" si="24"/>
        <v>-0.299808863225538</v>
      </c>
      <c r="G271">
        <f t="shared" si="23"/>
        <v>-0.299129357513111</v>
      </c>
    </row>
    <row r="272" spans="1:7">
      <c r="A272" s="1">
        <v>38944</v>
      </c>
      <c r="B272">
        <v>1.2725</v>
      </c>
      <c r="C272">
        <f t="shared" si="20"/>
        <v>0.0550249591370276</v>
      </c>
      <c r="D272">
        <f t="shared" si="21"/>
        <v>0.227959146400439</v>
      </c>
      <c r="E272">
        <f t="shared" si="22"/>
        <v>0.230340411638158</v>
      </c>
      <c r="F272">
        <f t="shared" si="24"/>
        <v>-0.732653440180255</v>
      </c>
      <c r="G272">
        <f t="shared" si="23"/>
        <v>-0.727526177406855</v>
      </c>
    </row>
    <row r="273" spans="1:7">
      <c r="A273" s="1">
        <v>38945</v>
      </c>
      <c r="B273">
        <v>1.2793</v>
      </c>
      <c r="C273">
        <f t="shared" si="20"/>
        <v>0.532958389831157</v>
      </c>
      <c r="D273">
        <f t="shared" si="21"/>
        <v>0.205466006373198</v>
      </c>
      <c r="E273">
        <f t="shared" si="22"/>
        <v>0.21767137424627</v>
      </c>
      <c r="F273">
        <f t="shared" si="24"/>
        <v>-0.10001680491112</v>
      </c>
      <c r="G273">
        <f t="shared" si="23"/>
        <v>-0.109922302374796</v>
      </c>
    </row>
    <row r="274" spans="1:7">
      <c r="A274" s="1">
        <v>38946</v>
      </c>
      <c r="B274">
        <v>1.2879</v>
      </c>
      <c r="C274">
        <f t="shared" si="20"/>
        <v>0.669993157563526</v>
      </c>
      <c r="D274">
        <f t="shared" si="21"/>
        <v>0.21332387026502</v>
      </c>
      <c r="E274">
        <f t="shared" si="22"/>
        <v>0.219813324056065</v>
      </c>
      <c r="F274">
        <f t="shared" si="24"/>
        <v>0.279662681100416</v>
      </c>
      <c r="G274">
        <f t="shared" si="23"/>
        <v>0.263584532473178</v>
      </c>
    </row>
    <row r="275" spans="1:7">
      <c r="A275" s="1">
        <v>38947</v>
      </c>
      <c r="B275">
        <v>1.2802</v>
      </c>
      <c r="C275">
        <f t="shared" si="20"/>
        <v>-0.599666919072167</v>
      </c>
      <c r="D275">
        <f t="shared" si="21"/>
        <v>0.236880566356713</v>
      </c>
      <c r="E275">
        <f t="shared" si="22"/>
        <v>0.230069066171798</v>
      </c>
      <c r="F275">
        <f t="shared" si="24"/>
        <v>0.038933566679661</v>
      </c>
      <c r="G275">
        <f t="shared" si="23"/>
        <v>0.0468174898998528</v>
      </c>
    </row>
    <row r="276" spans="1:7">
      <c r="A276" s="1">
        <v>38950</v>
      </c>
      <c r="B276">
        <v>1.2919</v>
      </c>
      <c r="C276">
        <f t="shared" si="20"/>
        <v>0.909768725835248</v>
      </c>
      <c r="D276">
        <f t="shared" si="21"/>
        <v>0.249152551103992</v>
      </c>
      <c r="E276">
        <f t="shared" si="22"/>
        <v>0.235244942892966</v>
      </c>
      <c r="F276">
        <f t="shared" si="24"/>
        <v>0.966143723573246</v>
      </c>
      <c r="G276">
        <f t="shared" si="23"/>
        <v>1.03562181909013</v>
      </c>
    </row>
    <row r="277" spans="1:7">
      <c r="A277" s="1">
        <v>38951</v>
      </c>
      <c r="B277">
        <v>1.2812</v>
      </c>
      <c r="C277">
        <f t="shared" si="20"/>
        <v>-0.831686423125263</v>
      </c>
      <c r="D277">
        <f t="shared" si="21"/>
        <v>0.307005209444382</v>
      </c>
      <c r="E277">
        <f t="shared" si="22"/>
        <v>0.263514203044782</v>
      </c>
      <c r="F277">
        <f t="shared" si="24"/>
        <v>0.536086590329921</v>
      </c>
      <c r="G277">
        <f t="shared" si="23"/>
        <v>0.64563334676114</v>
      </c>
    </row>
    <row r="278" spans="1:7">
      <c r="A278" s="1">
        <v>38952</v>
      </c>
      <c r="B278">
        <v>1.2812</v>
      </c>
      <c r="C278">
        <f t="shared" si="20"/>
        <v>0</v>
      </c>
      <c r="D278">
        <f t="shared" si="21"/>
        <v>0.345474919141033</v>
      </c>
      <c r="E278">
        <f t="shared" si="22"/>
        <v>0.28328846618264</v>
      </c>
      <c r="F278">
        <f t="shared" si="24"/>
        <v>-0.531417615672094</v>
      </c>
      <c r="G278">
        <f t="shared" si="23"/>
        <v>-0.630644792677406</v>
      </c>
    </row>
    <row r="279" spans="1:7">
      <c r="A279" s="1">
        <v>38953</v>
      </c>
      <c r="B279">
        <v>1.2831</v>
      </c>
      <c r="C279">
        <f t="shared" si="20"/>
        <v>0.148188616596958</v>
      </c>
      <c r="D279">
        <f t="shared" si="21"/>
        <v>0.31092742722693</v>
      </c>
      <c r="E279">
        <f t="shared" si="22"/>
        <v>0.267291158211682</v>
      </c>
      <c r="F279">
        <f t="shared" si="24"/>
        <v>-0.548784382046146</v>
      </c>
      <c r="G279">
        <f t="shared" si="23"/>
        <v>-0.618629817873664</v>
      </c>
    </row>
    <row r="280" spans="1:7">
      <c r="A280" s="1">
        <v>38954</v>
      </c>
      <c r="B280">
        <v>1.2762</v>
      </c>
      <c r="C280">
        <f t="shared" si="20"/>
        <v>-0.539211246672607</v>
      </c>
      <c r="D280">
        <f t="shared" si="21"/>
        <v>0.282030671113129</v>
      </c>
      <c r="E280">
        <f t="shared" si="22"/>
        <v>0.253351682023427</v>
      </c>
      <c r="F280">
        <f t="shared" si="24"/>
        <v>-0.117413787056174</v>
      </c>
      <c r="G280">
        <f t="shared" si="23"/>
        <v>-0.112683660405585</v>
      </c>
    </row>
    <row r="281" spans="1:7">
      <c r="A281" s="1">
        <v>38957</v>
      </c>
      <c r="B281">
        <v>1.28</v>
      </c>
      <c r="C281">
        <f t="shared" si="20"/>
        <v>0.297316547941634</v>
      </c>
      <c r="D281">
        <f t="shared" si="21"/>
        <v>0.282902480855639</v>
      </c>
      <c r="E281">
        <f t="shared" si="22"/>
        <v>0.253688019528932</v>
      </c>
      <c r="F281">
        <f t="shared" si="24"/>
        <v>-0.475094005066751</v>
      </c>
      <c r="G281">
        <f t="shared" si="23"/>
        <v>-0.511600926292191</v>
      </c>
    </row>
    <row r="282" spans="1:7">
      <c r="A282" s="1">
        <v>38958</v>
      </c>
      <c r="B282">
        <v>1.2808</v>
      </c>
      <c r="C282">
        <f t="shared" si="20"/>
        <v>0.0624804768841956</v>
      </c>
      <c r="D282">
        <f t="shared" si="21"/>
        <v>0.263451945738068</v>
      </c>
      <c r="E282">
        <f t="shared" si="22"/>
        <v>0.243886594841193</v>
      </c>
      <c r="F282">
        <f t="shared" si="24"/>
        <v>-0.659533188115846</v>
      </c>
      <c r="G282">
        <f t="shared" si="23"/>
        <v>-0.697522638097228</v>
      </c>
    </row>
    <row r="283" spans="1:7">
      <c r="A283" s="1">
        <v>38959</v>
      </c>
      <c r="B283">
        <v>1.2818</v>
      </c>
      <c r="C283">
        <f t="shared" si="20"/>
        <v>0.0780457387621599</v>
      </c>
      <c r="D283">
        <f t="shared" si="21"/>
        <v>0.237497132163429</v>
      </c>
      <c r="E283">
        <f t="shared" si="22"/>
        <v>0.230448589650305</v>
      </c>
      <c r="F283">
        <f t="shared" si="24"/>
        <v>-0.705976263465228</v>
      </c>
      <c r="G283">
        <f t="shared" si="23"/>
        <v>-0.720647913010878</v>
      </c>
    </row>
    <row r="284" spans="1:7">
      <c r="A284" s="1">
        <v>38960</v>
      </c>
      <c r="B284">
        <v>1.2851</v>
      </c>
      <c r="C284">
        <f t="shared" si="20"/>
        <v>0.257119624296883</v>
      </c>
      <c r="D284">
        <f t="shared" si="21"/>
        <v>0.214356532680979</v>
      </c>
      <c r="E284">
        <f t="shared" si="22"/>
        <v>0.217926231138233</v>
      </c>
      <c r="F284">
        <f t="shared" si="24"/>
        <v>-0.615850431909144</v>
      </c>
      <c r="G284">
        <f t="shared" si="23"/>
        <v>-0.610118414266469</v>
      </c>
    </row>
    <row r="285" spans="1:7">
      <c r="A285" s="1">
        <v>38961</v>
      </c>
      <c r="B285">
        <v>1.2817</v>
      </c>
      <c r="C285">
        <f t="shared" si="20"/>
        <v>-0.264921457731699</v>
      </c>
      <c r="D285">
        <f t="shared" si="21"/>
        <v>0.199531929532738</v>
      </c>
      <c r="E285">
        <f t="shared" si="22"/>
        <v>0.209156182329868</v>
      </c>
      <c r="F285">
        <f t="shared" si="24"/>
        <v>-0.63002045905075</v>
      </c>
      <c r="G285">
        <f t="shared" si="23"/>
        <v>-0.61455956847143</v>
      </c>
    </row>
    <row r="286" spans="1:7">
      <c r="A286" s="1">
        <v>38964</v>
      </c>
      <c r="B286">
        <v>1.2852</v>
      </c>
      <c r="C286">
        <f t="shared" si="20"/>
        <v>0.272702650592503</v>
      </c>
      <c r="D286">
        <f t="shared" si="21"/>
        <v>0.186597074456133</v>
      </c>
      <c r="E286">
        <f t="shared" si="22"/>
        <v>0.20111598032841</v>
      </c>
      <c r="F286">
        <f t="shared" si="24"/>
        <v>-0.640130929837175</v>
      </c>
      <c r="G286">
        <f t="shared" si="23"/>
        <v>-0.617051562505731</v>
      </c>
    </row>
    <row r="287" spans="1:7">
      <c r="A287" s="1">
        <v>38965</v>
      </c>
      <c r="B287">
        <v>1.281</v>
      </c>
      <c r="C287">
        <f t="shared" si="20"/>
        <v>-0.327332534496914</v>
      </c>
      <c r="D287">
        <f t="shared" si="21"/>
        <v>0.175374040574538</v>
      </c>
      <c r="E287">
        <f t="shared" si="22"/>
        <v>0.193767358290714</v>
      </c>
      <c r="F287">
        <f t="shared" si="24"/>
        <v>-0.564936922288256</v>
      </c>
      <c r="G287">
        <f t="shared" si="23"/>
        <v>-0.544065957956881</v>
      </c>
    </row>
    <row r="288" spans="1:7">
      <c r="A288" s="1">
        <v>38966</v>
      </c>
      <c r="B288">
        <v>1.2793</v>
      </c>
      <c r="C288">
        <f t="shared" si="20"/>
        <v>-0.132796957374481</v>
      </c>
      <c r="D288">
        <f t="shared" si="21"/>
        <v>0.168551295331101</v>
      </c>
      <c r="E288">
        <f t="shared" si="22"/>
        <v>0.18849864620028</v>
      </c>
      <c r="F288">
        <f t="shared" si="24"/>
        <v>-0.837944030079936</v>
      </c>
      <c r="G288">
        <f t="shared" si="23"/>
        <v>-0.787554618173386</v>
      </c>
    </row>
    <row r="289" spans="1:7">
      <c r="A289" s="1">
        <v>38967</v>
      </c>
      <c r="B289">
        <v>1.2731</v>
      </c>
      <c r="C289">
        <f t="shared" si="20"/>
        <v>-0.485818225538974</v>
      </c>
      <c r="D289">
        <f t="shared" si="21"/>
        <v>0.153459668986783</v>
      </c>
      <c r="E289">
        <f t="shared" si="22"/>
        <v>0.179070479022659</v>
      </c>
      <c r="F289">
        <f t="shared" si="24"/>
        <v>-0.168164031465288</v>
      </c>
      <c r="G289">
        <f t="shared" si="23"/>
        <v>-0.200975461958987</v>
      </c>
    </row>
    <row r="290" spans="1:7">
      <c r="A290" s="1">
        <v>38968</v>
      </c>
      <c r="B290">
        <v>1.2713</v>
      </c>
      <c r="C290">
        <f t="shared" si="20"/>
        <v>-0.141487211152277</v>
      </c>
      <c r="D290">
        <f t="shared" si="21"/>
        <v>0.161715636914688</v>
      </c>
      <c r="E290">
        <f t="shared" si="22"/>
        <v>0.181127217694592</v>
      </c>
      <c r="F290">
        <f t="shared" si="24"/>
        <v>-0.849063363809509</v>
      </c>
      <c r="G290">
        <f t="shared" si="23"/>
        <v>-0.799016572723335</v>
      </c>
    </row>
    <row r="291" spans="1:7">
      <c r="A291" s="1">
        <v>38971</v>
      </c>
      <c r="B291">
        <v>1.2713</v>
      </c>
      <c r="C291">
        <f t="shared" si="20"/>
        <v>0</v>
      </c>
      <c r="D291">
        <f t="shared" si="21"/>
        <v>0.147545936315184</v>
      </c>
      <c r="E291">
        <f t="shared" si="22"/>
        <v>0.172260516178899</v>
      </c>
      <c r="F291">
        <f t="shared" si="24"/>
        <v>-0.956807859521012</v>
      </c>
      <c r="G291">
        <f t="shared" si="23"/>
        <v>-0.87937365955755</v>
      </c>
    </row>
    <row r="292" spans="1:7">
      <c r="A292" s="1">
        <v>38972</v>
      </c>
      <c r="B292">
        <v>1.2709</v>
      </c>
      <c r="C292">
        <f t="shared" si="20"/>
        <v>-0.031468806805217</v>
      </c>
      <c r="D292">
        <f t="shared" si="21"/>
        <v>0.132791342683666</v>
      </c>
      <c r="E292">
        <f t="shared" si="22"/>
        <v>0.162924885208165</v>
      </c>
      <c r="F292">
        <f t="shared" si="24"/>
        <v>-1.00575938857239</v>
      </c>
      <c r="G292">
        <f t="shared" si="23"/>
        <v>-0.904193918664667</v>
      </c>
    </row>
    <row r="293" spans="1:7">
      <c r="A293" s="1">
        <v>38973</v>
      </c>
      <c r="B293">
        <v>1.2677</v>
      </c>
      <c r="C293">
        <f t="shared" si="20"/>
        <v>-0.252107594334361</v>
      </c>
      <c r="D293">
        <f t="shared" si="21"/>
        <v>0.119611236995474</v>
      </c>
      <c r="E293">
        <f t="shared" si="22"/>
        <v>0.154198906385762</v>
      </c>
      <c r="F293">
        <f t="shared" si="24"/>
        <v>-0.796067504070165</v>
      </c>
      <c r="G293">
        <f t="shared" si="23"/>
        <v>-0.728664223865995</v>
      </c>
    </row>
    <row r="294" spans="1:7">
      <c r="A294" s="1">
        <v>38974</v>
      </c>
      <c r="B294">
        <v>1.2723</v>
      </c>
      <c r="C294">
        <f t="shared" si="20"/>
        <v>0.362205120397356</v>
      </c>
      <c r="D294">
        <f t="shared" si="21"/>
        <v>0.114005937208032</v>
      </c>
      <c r="E294">
        <f t="shared" si="22"/>
        <v>0.149124883958669</v>
      </c>
      <c r="F294">
        <f t="shared" si="24"/>
        <v>-0.510376423881323</v>
      </c>
      <c r="G294">
        <f t="shared" si="23"/>
        <v>-0.511610814410291</v>
      </c>
    </row>
    <row r="295" spans="1:7">
      <c r="A295" s="1">
        <v>38975</v>
      </c>
      <c r="B295">
        <v>1.2675</v>
      </c>
      <c r="C295">
        <f t="shared" si="20"/>
        <v>-0.377982968331643</v>
      </c>
      <c r="D295">
        <f t="shared" si="21"/>
        <v>0.115724598411435</v>
      </c>
      <c r="E295">
        <f t="shared" si="22"/>
        <v>0.147737018383252</v>
      </c>
      <c r="F295">
        <f t="shared" si="24"/>
        <v>-0.460981680771105</v>
      </c>
      <c r="G295">
        <f t="shared" si="23"/>
        <v>-0.472628837698162</v>
      </c>
    </row>
    <row r="296" spans="1:7">
      <c r="A296" s="1">
        <v>38978</v>
      </c>
      <c r="B296">
        <v>1.2665</v>
      </c>
      <c r="C296">
        <f t="shared" si="20"/>
        <v>-0.0789266023608365</v>
      </c>
      <c r="D296">
        <f t="shared" si="21"/>
        <v>0.118439251005172</v>
      </c>
      <c r="E296">
        <f t="shared" si="22"/>
        <v>0.147016353497697</v>
      </c>
      <c r="F296">
        <f t="shared" si="24"/>
        <v>-1.04037964388155</v>
      </c>
      <c r="G296">
        <f t="shared" si="23"/>
        <v>-0.937419617481231</v>
      </c>
    </row>
    <row r="297" spans="1:7">
      <c r="A297" s="1">
        <v>38979</v>
      </c>
      <c r="B297">
        <v>1.2654</v>
      </c>
      <c r="C297">
        <f t="shared" si="20"/>
        <v>-0.0868912728945905</v>
      </c>
      <c r="D297">
        <f t="shared" si="21"/>
        <v>0.107218266760677</v>
      </c>
      <c r="E297">
        <f t="shared" si="22"/>
        <v>0.139506842715847</v>
      </c>
      <c r="F297">
        <f t="shared" si="24"/>
        <v>-1.08123533512855</v>
      </c>
      <c r="G297">
        <f t="shared" si="23"/>
        <v>-0.957760874608301</v>
      </c>
    </row>
    <row r="298" spans="1:7">
      <c r="A298" s="1">
        <v>38980</v>
      </c>
      <c r="B298">
        <v>1.2676</v>
      </c>
      <c r="C298">
        <f t="shared" si="20"/>
        <v>0.173707110398178</v>
      </c>
      <c r="D298">
        <f t="shared" si="21"/>
        <v>0.0972514494151338</v>
      </c>
      <c r="E298">
        <f t="shared" si="22"/>
        <v>0.132513936818158</v>
      </c>
      <c r="F298">
        <f t="shared" si="24"/>
        <v>-1.01009293796989</v>
      </c>
      <c r="G298">
        <f t="shared" si="23"/>
        <v>-0.89668094773209</v>
      </c>
    </row>
    <row r="299" spans="1:7">
      <c r="A299" s="1">
        <v>38981</v>
      </c>
      <c r="B299">
        <v>1.2731</v>
      </c>
      <c r="C299">
        <f t="shared" si="20"/>
        <v>0.432952225083384</v>
      </c>
      <c r="D299">
        <f t="shared" si="21"/>
        <v>0.0905437204939089</v>
      </c>
      <c r="E299">
        <f t="shared" si="22"/>
        <v>0.127071808619213</v>
      </c>
      <c r="F299">
        <f t="shared" si="24"/>
        <v>-0.165839028866621</v>
      </c>
      <c r="G299">
        <f t="shared" si="23"/>
        <v>-0.293935708965024</v>
      </c>
    </row>
    <row r="300" spans="1:7">
      <c r="A300" s="1">
        <v>38982</v>
      </c>
      <c r="B300">
        <v>1.2817</v>
      </c>
      <c r="C300">
        <f t="shared" si="20"/>
        <v>0.67324506681788</v>
      </c>
      <c r="D300">
        <f t="shared" si="21"/>
        <v>0.100234111364983</v>
      </c>
      <c r="E300">
        <f t="shared" si="22"/>
        <v>0.129819881562293</v>
      </c>
      <c r="F300">
        <f t="shared" si="24"/>
        <v>1.11087798113572</v>
      </c>
      <c r="G300">
        <f t="shared" si="23"/>
        <v>0.724918624977516</v>
      </c>
    </row>
    <row r="301" spans="1:7">
      <c r="A301" s="1">
        <v>38985</v>
      </c>
      <c r="B301">
        <v>1.2768</v>
      </c>
      <c r="C301">
        <f t="shared" si="20"/>
        <v>-0.383037404023406</v>
      </c>
      <c r="D301">
        <f t="shared" si="21"/>
        <v>0.135536592227946</v>
      </c>
      <c r="E301">
        <f t="shared" si="22"/>
        <v>0.145693634668286</v>
      </c>
      <c r="F301">
        <f t="shared" si="24"/>
        <v>-0.458009423488575</v>
      </c>
      <c r="G301">
        <f t="shared" si="23"/>
        <v>-0.459610341294282</v>
      </c>
    </row>
    <row r="302" spans="1:7">
      <c r="A302" s="1">
        <v>38986</v>
      </c>
      <c r="B302">
        <v>1.2695</v>
      </c>
      <c r="C302">
        <f t="shared" si="20"/>
        <v>-0.573382555081104</v>
      </c>
      <c r="D302">
        <f t="shared" si="21"/>
        <v>0.13665469829325</v>
      </c>
      <c r="E302">
        <f t="shared" si="22"/>
        <v>0.145287899232238</v>
      </c>
      <c r="F302">
        <f t="shared" si="24"/>
        <v>0.207764476788727</v>
      </c>
      <c r="G302">
        <f t="shared" si="23"/>
        <v>0.166915748542537</v>
      </c>
    </row>
    <row r="303" spans="1:7">
      <c r="A303" s="1">
        <v>38987</v>
      </c>
      <c r="B303">
        <v>1.2684</v>
      </c>
      <c r="C303">
        <f t="shared" si="20"/>
        <v>-0.0866858480540933</v>
      </c>
      <c r="D303">
        <f t="shared" si="21"/>
        <v>0.155865983911059</v>
      </c>
      <c r="E303">
        <f t="shared" si="22"/>
        <v>0.15400900300187</v>
      </c>
      <c r="F303">
        <f t="shared" si="24"/>
        <v>-0.905273919201521</v>
      </c>
      <c r="G303">
        <f t="shared" si="23"/>
        <v>-0.910976014532909</v>
      </c>
    </row>
    <row r="304" spans="1:7">
      <c r="A304" s="1">
        <v>38988</v>
      </c>
      <c r="B304">
        <v>1.2713</v>
      </c>
      <c r="C304">
        <f t="shared" si="20"/>
        <v>0.22837352918846</v>
      </c>
      <c r="D304">
        <f t="shared" si="21"/>
        <v>0.141030829145239</v>
      </c>
      <c r="E304">
        <f t="shared" si="22"/>
        <v>0.146144184634401</v>
      </c>
      <c r="F304">
        <f t="shared" si="24"/>
        <v>-0.794483886804674</v>
      </c>
      <c r="G304">
        <f t="shared" si="23"/>
        <v>-0.7831458109825</v>
      </c>
    </row>
    <row r="305" spans="1:7">
      <c r="A305" s="1">
        <v>38989</v>
      </c>
      <c r="B305">
        <v>1.266</v>
      </c>
      <c r="C305">
        <f t="shared" si="20"/>
        <v>-0.417767525195538</v>
      </c>
      <c r="D305">
        <f t="shared" si="21"/>
        <v>0.132143193114114</v>
      </c>
      <c r="E305">
        <f t="shared" si="22"/>
        <v>0.140983256998037</v>
      </c>
      <c r="F305">
        <f t="shared" si="24"/>
        <v>-0.351553585054185</v>
      </c>
      <c r="G305">
        <f t="shared" si="23"/>
        <v>-0.360583906891817</v>
      </c>
    </row>
    <row r="306" spans="1:7">
      <c r="A306" s="1">
        <v>38992</v>
      </c>
      <c r="B306">
        <v>1.2685</v>
      </c>
      <c r="C306">
        <f t="shared" si="20"/>
        <v>0.197277633521513</v>
      </c>
      <c r="D306">
        <f t="shared" si="21"/>
        <v>0.136381844313503</v>
      </c>
      <c r="E306">
        <f t="shared" si="22"/>
        <v>0.142250746833555</v>
      </c>
      <c r="F306">
        <f t="shared" si="24"/>
        <v>-0.853466338737542</v>
      </c>
      <c r="G306">
        <f t="shared" si="23"/>
        <v>-0.838286686668638</v>
      </c>
    </row>
    <row r="307" spans="1:7">
      <c r="A307" s="1">
        <v>38993</v>
      </c>
      <c r="B307">
        <v>1.2737</v>
      </c>
      <c r="C307">
        <f t="shared" si="20"/>
        <v>0.409095055637734</v>
      </c>
      <c r="D307">
        <f t="shared" si="21"/>
        <v>0.126635506350938</v>
      </c>
      <c r="E307">
        <f t="shared" si="22"/>
        <v>0.136661625257934</v>
      </c>
      <c r="F307">
        <f t="shared" si="24"/>
        <v>-0.372431915878294</v>
      </c>
      <c r="G307">
        <f t="shared" si="23"/>
        <v>-0.382812898379435</v>
      </c>
    </row>
    <row r="308" spans="1:7">
      <c r="A308" s="1">
        <v>38994</v>
      </c>
      <c r="B308">
        <v>1.2684</v>
      </c>
      <c r="C308">
        <f t="shared" si="20"/>
        <v>-0.41697869315216</v>
      </c>
      <c r="D308">
        <f t="shared" si="21"/>
        <v>0.130707832170568</v>
      </c>
      <c r="E308">
        <f t="shared" si="22"/>
        <v>0.13782986596982</v>
      </c>
      <c r="F308">
        <f t="shared" si="24"/>
        <v>-0.352281320356325</v>
      </c>
      <c r="G308">
        <f t="shared" si="23"/>
        <v>-0.360121759896707</v>
      </c>
    </row>
    <row r="309" spans="1:7">
      <c r="A309" s="1">
        <v>38995</v>
      </c>
      <c r="B309">
        <v>1.2721</v>
      </c>
      <c r="C309">
        <f t="shared" si="20"/>
        <v>0.291281449797298</v>
      </c>
      <c r="D309">
        <f t="shared" si="21"/>
        <v>0.135024172007799</v>
      </c>
      <c r="E309">
        <f t="shared" si="22"/>
        <v>0.139253635538775</v>
      </c>
      <c r="F309">
        <f t="shared" si="24"/>
        <v>-0.686966680192839</v>
      </c>
      <c r="G309">
        <f t="shared" si="23"/>
        <v>-0.68108760972796</v>
      </c>
    </row>
    <row r="310" spans="1:7">
      <c r="A310" s="1">
        <v>38996</v>
      </c>
      <c r="B310">
        <v>1.2664</v>
      </c>
      <c r="C310">
        <f t="shared" si="20"/>
        <v>-0.449084859536291</v>
      </c>
      <c r="D310">
        <f t="shared" si="21"/>
        <v>0.130006243106621</v>
      </c>
      <c r="E310">
        <f t="shared" si="22"/>
        <v>0.136140661556249</v>
      </c>
      <c r="F310">
        <f t="shared" si="24"/>
        <v>-0.244442071336651</v>
      </c>
      <c r="G310">
        <f t="shared" si="23"/>
        <v>-0.256339073398203</v>
      </c>
    </row>
    <row r="311" spans="1:7">
      <c r="A311" s="1">
        <v>38999</v>
      </c>
      <c r="B311">
        <v>1.2603</v>
      </c>
      <c r="C311">
        <f t="shared" si="20"/>
        <v>-0.482844172335631</v>
      </c>
      <c r="D311">
        <f t="shared" si="21"/>
        <v>0.137173339902432</v>
      </c>
      <c r="E311">
        <f t="shared" si="22"/>
        <v>0.139056082416111</v>
      </c>
      <c r="F311">
        <f t="shared" si="24"/>
        <v>-0.143459737687605</v>
      </c>
      <c r="G311">
        <f t="shared" si="23"/>
        <v>-0.148149524480079</v>
      </c>
    </row>
    <row r="312" spans="1:7">
      <c r="A312" s="1">
        <v>39000</v>
      </c>
      <c r="B312">
        <v>1.2538</v>
      </c>
      <c r="C312">
        <f t="shared" si="20"/>
        <v>-0.517084800357793</v>
      </c>
      <c r="D312">
        <f t="shared" si="21"/>
        <v>0.146769855388037</v>
      </c>
      <c r="E312">
        <f t="shared" si="22"/>
        <v>0.143369642209068</v>
      </c>
      <c r="F312">
        <f t="shared" si="24"/>
        <v>-0.0485741701785488</v>
      </c>
      <c r="G312">
        <f t="shared" si="23"/>
        <v>-0.0386913622714377</v>
      </c>
    </row>
    <row r="313" spans="1:7">
      <c r="A313" s="1">
        <v>39001</v>
      </c>
      <c r="B313">
        <v>1.2543</v>
      </c>
      <c r="C313">
        <f t="shared" si="20"/>
        <v>0.0398708190760932</v>
      </c>
      <c r="D313">
        <f t="shared" si="21"/>
        <v>0.158830538925339</v>
      </c>
      <c r="E313">
        <f t="shared" si="22"/>
        <v>0.149136298214577</v>
      </c>
      <c r="F313">
        <f t="shared" si="24"/>
        <v>-0.914954384766371</v>
      </c>
      <c r="G313">
        <f t="shared" si="23"/>
        <v>-0.94611769024658</v>
      </c>
    </row>
    <row r="314" spans="1:7">
      <c r="A314" s="1">
        <v>39002</v>
      </c>
      <c r="B314">
        <v>1.2531</v>
      </c>
      <c r="C314">
        <f t="shared" si="20"/>
        <v>-0.0957166859389598</v>
      </c>
      <c r="D314">
        <f t="shared" si="21"/>
        <v>0.143106453254185</v>
      </c>
      <c r="E314">
        <f t="shared" si="22"/>
        <v>0.141267604432392</v>
      </c>
      <c r="F314">
        <f t="shared" si="24"/>
        <v>-0.94007321780984</v>
      </c>
      <c r="G314">
        <f t="shared" si="23"/>
        <v>-0.946122943520844</v>
      </c>
    </row>
    <row r="315" spans="1:7">
      <c r="A315" s="1">
        <v>39003</v>
      </c>
      <c r="B315">
        <v>1.255</v>
      </c>
      <c r="C315">
        <f t="shared" si="20"/>
        <v>0.151509139464476</v>
      </c>
      <c r="D315">
        <f t="shared" si="21"/>
        <v>0.12971197632548</v>
      </c>
      <c r="E315">
        <f t="shared" si="22"/>
        <v>0.134249632364805</v>
      </c>
      <c r="F315">
        <f t="shared" si="24"/>
        <v>-0.932734847208454</v>
      </c>
      <c r="G315">
        <f t="shared" si="23"/>
        <v>-0.918533353554052</v>
      </c>
    </row>
    <row r="316" spans="1:7">
      <c r="A316" s="1">
        <v>39006</v>
      </c>
      <c r="B316">
        <v>1.2515</v>
      </c>
      <c r="C316">
        <f t="shared" si="20"/>
        <v>-0.279274069405526</v>
      </c>
      <c r="D316">
        <f t="shared" si="21"/>
        <v>0.119036280627059</v>
      </c>
      <c r="E316">
        <f t="shared" si="22"/>
        <v>0.12834240538998</v>
      </c>
      <c r="F316">
        <f t="shared" si="24"/>
        <v>-0.736557449927942</v>
      </c>
      <c r="G316">
        <f t="shared" si="23"/>
        <v>-0.72267550187687</v>
      </c>
    </row>
    <row r="317" spans="1:7">
      <c r="A317" s="1">
        <v>39007</v>
      </c>
      <c r="B317">
        <v>1.2524</v>
      </c>
      <c r="C317">
        <f t="shared" si="20"/>
        <v>0.0718878580421656</v>
      </c>
      <c r="D317">
        <f t="shared" si="21"/>
        <v>0.114932053148585</v>
      </c>
      <c r="E317">
        <f t="shared" si="22"/>
        <v>0.125541561358698</v>
      </c>
      <c r="F317">
        <f t="shared" si="24"/>
        <v>-1.05922482574894</v>
      </c>
      <c r="G317">
        <f t="shared" si="23"/>
        <v>-1.01697692053633</v>
      </c>
    </row>
    <row r="318" spans="1:7">
      <c r="A318" s="1">
        <v>39008</v>
      </c>
      <c r="B318">
        <v>1.2543</v>
      </c>
      <c r="C318">
        <f t="shared" si="20"/>
        <v>0.151593757837841</v>
      </c>
      <c r="D318">
        <f t="shared" si="21"/>
        <v>0.103955634247116</v>
      </c>
      <c r="E318">
        <f t="shared" si="22"/>
        <v>0.11926746088387</v>
      </c>
      <c r="F318">
        <f t="shared" si="24"/>
        <v>-1.02136440246687</v>
      </c>
      <c r="G318">
        <f t="shared" si="23"/>
        <v>-0.96685247554284</v>
      </c>
    </row>
    <row r="319" spans="1:7">
      <c r="A319" s="1">
        <v>39009</v>
      </c>
      <c r="B319">
        <v>1.2561</v>
      </c>
      <c r="C319">
        <f t="shared" si="20"/>
        <v>0.143403466257825</v>
      </c>
      <c r="D319">
        <f t="shared" si="21"/>
        <v>0.095858137563944</v>
      </c>
      <c r="E319">
        <f t="shared" si="22"/>
        <v>0.114260446601608</v>
      </c>
      <c r="F319">
        <f t="shared" si="24"/>
        <v>-1.06517739435121</v>
      </c>
      <c r="G319">
        <f t="shared" si="23"/>
        <v>-0.994647588134799</v>
      </c>
    </row>
    <row r="320" spans="1:7">
      <c r="A320" s="1">
        <v>39010</v>
      </c>
      <c r="B320">
        <v>1.2618</v>
      </c>
      <c r="C320">
        <f t="shared" si="20"/>
        <v>0.452759024350177</v>
      </c>
      <c r="D320">
        <f t="shared" si="21"/>
        <v>0.0883287792210255</v>
      </c>
      <c r="E320">
        <f t="shared" si="22"/>
        <v>0.10943304751225</v>
      </c>
      <c r="F320">
        <f t="shared" si="24"/>
        <v>-0.0529599145360329</v>
      </c>
      <c r="G320">
        <f t="shared" si="23"/>
        <v>-0.169617752879244</v>
      </c>
    </row>
    <row r="321" spans="1:7">
      <c r="A321" s="1">
        <v>39013</v>
      </c>
      <c r="B321">
        <v>1.2556</v>
      </c>
      <c r="C321">
        <f t="shared" si="20"/>
        <v>-0.492572696891056</v>
      </c>
      <c r="D321">
        <f t="shared" si="21"/>
        <v>0.0999949747119754</v>
      </c>
      <c r="E321">
        <f t="shared" si="22"/>
        <v>0.114116601368041</v>
      </c>
      <c r="F321">
        <f t="shared" si="24"/>
        <v>0.061882601852292</v>
      </c>
      <c r="G321">
        <f t="shared" si="23"/>
        <v>-0.022197307062185</v>
      </c>
    </row>
    <row r="322" spans="1:7">
      <c r="A322" s="1">
        <v>39014</v>
      </c>
      <c r="B322">
        <v>1.2541</v>
      </c>
      <c r="C322">
        <f t="shared" si="20"/>
        <v>-0.119536213779447</v>
      </c>
      <c r="D322">
        <f t="shared" si="21"/>
        <v>0.114258263413031</v>
      </c>
      <c r="E322">
        <f t="shared" si="22"/>
        <v>0.120400998372085</v>
      </c>
      <c r="F322">
        <f t="shared" si="24"/>
        <v>-1.02211797749984</v>
      </c>
      <c r="G322">
        <f t="shared" si="23"/>
        <v>-0.99912490674047</v>
      </c>
    </row>
    <row r="323" spans="1:7">
      <c r="A323" s="1">
        <v>39015</v>
      </c>
      <c r="B323">
        <v>1.258</v>
      </c>
      <c r="C323">
        <f t="shared" si="20"/>
        <v>0.310497443038185</v>
      </c>
      <c r="D323">
        <f t="shared" si="21"/>
        <v>0.1042613277122</v>
      </c>
      <c r="E323">
        <f t="shared" si="22"/>
        <v>0.114891383789996</v>
      </c>
      <c r="F323">
        <f t="shared" si="24"/>
        <v>-0.668085955248434</v>
      </c>
      <c r="G323">
        <f t="shared" si="23"/>
        <v>-0.662319672783396</v>
      </c>
    </row>
    <row r="324" spans="1:7">
      <c r="A324" s="1">
        <v>39016</v>
      </c>
      <c r="B324">
        <v>1.2653</v>
      </c>
      <c r="C324">
        <f t="shared" ref="C324:C387" si="25">100*LN(B324/B323)</f>
        <v>0.578608993483212</v>
      </c>
      <c r="D324">
        <f t="shared" si="21"/>
        <v>0.103476061154305</v>
      </c>
      <c r="E324">
        <f t="shared" si="22"/>
        <v>0.113818333869259</v>
      </c>
      <c r="F324">
        <f t="shared" si="24"/>
        <v>0.483501779955471</v>
      </c>
      <c r="G324">
        <f t="shared" si="23"/>
        <v>0.38413787437175</v>
      </c>
    </row>
    <row r="325" spans="1:7">
      <c r="A325" s="1">
        <v>39017</v>
      </c>
      <c r="B325">
        <v>1.2683</v>
      </c>
      <c r="C325">
        <f t="shared" si="25"/>
        <v>0.236817287816588</v>
      </c>
      <c r="D325">
        <f t="shared" ref="D325:D388" si="26">$J$1*D324+(1-$J$1)*C324^2</f>
        <v>0.12660729177284</v>
      </c>
      <c r="E325">
        <f t="shared" ref="E325:E388" si="27">$K$1+$K$2*C324^2+$K$3*E324</f>
        <v>0.124728652204086</v>
      </c>
      <c r="F325">
        <f t="shared" si="24"/>
        <v>-0.81185076306666</v>
      </c>
      <c r="G325">
        <f t="shared" ref="G325:G388" si="28">0.5*(LN(E325)+C325^2/E325)</f>
        <v>-0.815989600180674</v>
      </c>
    </row>
    <row r="326" spans="1:7">
      <c r="A326" s="1">
        <v>39020</v>
      </c>
      <c r="B326">
        <v>1.2717</v>
      </c>
      <c r="C326">
        <f t="shared" si="25"/>
        <v>0.267716695331721</v>
      </c>
      <c r="D326">
        <f t="shared" si="26"/>
        <v>0.119554805376437</v>
      </c>
      <c r="E326">
        <f t="shared" si="27"/>
        <v>0.121049054462281</v>
      </c>
      <c r="F326">
        <f t="shared" si="24"/>
        <v>-0.762243862378842</v>
      </c>
      <c r="G326">
        <f t="shared" si="28"/>
        <v>-0.759733487746773</v>
      </c>
    </row>
    <row r="327" spans="1:7">
      <c r="A327" s="1">
        <v>39021</v>
      </c>
      <c r="B327">
        <v>1.2696</v>
      </c>
      <c r="C327">
        <f t="shared" si="25"/>
        <v>-0.165269781450185</v>
      </c>
      <c r="D327">
        <f t="shared" si="26"/>
        <v>0.114766547734727</v>
      </c>
      <c r="E327">
        <f t="shared" si="27"/>
        <v>0.118369722642511</v>
      </c>
      <c r="F327">
        <f t="shared" ref="F327:F390" si="29">0.5*(LN(D327)+C327^2/D327)</f>
        <v>-0.963429088048577</v>
      </c>
      <c r="G327">
        <f t="shared" si="28"/>
        <v>-0.951594942096951</v>
      </c>
    </row>
    <row r="328" spans="1:7">
      <c r="A328" s="1">
        <v>39022</v>
      </c>
      <c r="B328">
        <v>1.2757</v>
      </c>
      <c r="C328">
        <f t="shared" si="25"/>
        <v>0.479315733204509</v>
      </c>
      <c r="D328">
        <f t="shared" si="26"/>
        <v>0.106021303027313</v>
      </c>
      <c r="E328">
        <f t="shared" si="27"/>
        <v>0.11363324431699</v>
      </c>
      <c r="F328">
        <f t="shared" si="29"/>
        <v>-0.0385792705165335</v>
      </c>
      <c r="G328">
        <f t="shared" si="28"/>
        <v>-0.0764901195062944</v>
      </c>
    </row>
    <row r="329" spans="1:7">
      <c r="A329" s="1">
        <v>39023</v>
      </c>
      <c r="B329">
        <v>1.2767</v>
      </c>
      <c r="C329">
        <f t="shared" si="25"/>
        <v>0.0783576282060642</v>
      </c>
      <c r="D329">
        <f t="shared" si="26"/>
        <v>0.11839352993432</v>
      </c>
      <c r="E329">
        <f t="shared" si="27"/>
        <v>0.119302428262839</v>
      </c>
      <c r="F329">
        <f t="shared" si="29"/>
        <v>-1.04094047761229</v>
      </c>
      <c r="G329">
        <f t="shared" si="28"/>
        <v>-1.03731422068396</v>
      </c>
    </row>
    <row r="330" spans="1:7">
      <c r="A330" s="1">
        <v>39024</v>
      </c>
      <c r="B330">
        <v>1.276</v>
      </c>
      <c r="C330">
        <f t="shared" si="25"/>
        <v>-0.054843892156991</v>
      </c>
      <c r="D330">
        <f t="shared" si="26"/>
        <v>0.107168168730696</v>
      </c>
      <c r="E330">
        <f t="shared" si="27"/>
        <v>0.113451278461973</v>
      </c>
      <c r="F330">
        <f t="shared" si="29"/>
        <v>-1.10264467418297</v>
      </c>
      <c r="G330">
        <f t="shared" si="28"/>
        <v>-1.07493475747113</v>
      </c>
    </row>
    <row r="331" spans="1:7">
      <c r="A331" s="1">
        <v>39027</v>
      </c>
      <c r="B331">
        <v>1.2702</v>
      </c>
      <c r="C331">
        <f t="shared" si="25"/>
        <v>-0.455581653586069</v>
      </c>
      <c r="D331">
        <f t="shared" si="26"/>
        <v>0.0967521371083188</v>
      </c>
      <c r="E331">
        <f t="shared" si="27"/>
        <v>0.107794594379601</v>
      </c>
      <c r="F331">
        <f t="shared" si="29"/>
        <v>-0.0951913076399691</v>
      </c>
      <c r="G331">
        <f t="shared" si="28"/>
        <v>-0.151031733920723</v>
      </c>
    </row>
    <row r="332" spans="1:7">
      <c r="A332" s="1">
        <v>39028</v>
      </c>
      <c r="B332">
        <v>1.2755</v>
      </c>
      <c r="C332">
        <f t="shared" si="25"/>
        <v>0.41638902129916</v>
      </c>
      <c r="D332">
        <f t="shared" si="26"/>
        <v>0.107832387705909</v>
      </c>
      <c r="E332">
        <f t="shared" si="27"/>
        <v>0.112704650871036</v>
      </c>
      <c r="F332">
        <f t="shared" si="29"/>
        <v>-0.309656598413134</v>
      </c>
      <c r="G332">
        <f t="shared" si="28"/>
        <v>-0.322314556560884</v>
      </c>
    </row>
    <row r="333" spans="1:7">
      <c r="A333" s="1">
        <v>39029</v>
      </c>
      <c r="B333">
        <v>1.2776</v>
      </c>
      <c r="C333">
        <f t="shared" si="25"/>
        <v>0.164505931893665</v>
      </c>
      <c r="D333">
        <f t="shared" si="26"/>
        <v>0.114387130641165</v>
      </c>
      <c r="E333">
        <f t="shared" si="27"/>
        <v>0.115611362671697</v>
      </c>
      <c r="F333">
        <f t="shared" si="29"/>
        <v>-0.965791189904717</v>
      </c>
      <c r="G333">
        <f t="shared" si="28"/>
        <v>-0.961720976347091</v>
      </c>
    </row>
    <row r="334" spans="1:7">
      <c r="A334" s="1">
        <v>39030</v>
      </c>
      <c r="B334">
        <v>1.2796</v>
      </c>
      <c r="C334">
        <f t="shared" si="25"/>
        <v>0.156421117456023</v>
      </c>
      <c r="D334">
        <f t="shared" si="26"/>
        <v>0.105654637739869</v>
      </c>
      <c r="E334">
        <f t="shared" si="27"/>
        <v>0.111027790992806</v>
      </c>
      <c r="F334">
        <f t="shared" si="29"/>
        <v>-1.00799951183476</v>
      </c>
      <c r="G334">
        <f t="shared" si="28"/>
        <v>-0.988800696013047</v>
      </c>
    </row>
    <row r="335" spans="1:7">
      <c r="A335" s="1">
        <v>39031</v>
      </c>
      <c r="B335">
        <v>1.2864</v>
      </c>
      <c r="C335">
        <f t="shared" si="25"/>
        <v>0.530009034933894</v>
      </c>
      <c r="D335">
        <f t="shared" si="26"/>
        <v>0.097535930564501</v>
      </c>
      <c r="E335">
        <f t="shared" si="27"/>
        <v>0.106589501832547</v>
      </c>
      <c r="F335">
        <f t="shared" si="29"/>
        <v>0.276264030461185</v>
      </c>
      <c r="G335">
        <f t="shared" si="28"/>
        <v>0.198331778910444</v>
      </c>
    </row>
    <row r="336" spans="1:7">
      <c r="A336" s="1">
        <v>39034</v>
      </c>
      <c r="B336">
        <v>1.283</v>
      </c>
      <c r="C336">
        <f t="shared" si="25"/>
        <v>-0.264653380906554</v>
      </c>
      <c r="D336">
        <f t="shared" si="26"/>
        <v>0.115873295219207</v>
      </c>
      <c r="E336">
        <f t="shared" si="27"/>
        <v>0.115239610578172</v>
      </c>
      <c r="F336">
        <f t="shared" si="29"/>
        <v>-0.775396222097574</v>
      </c>
      <c r="G336">
        <f t="shared" si="28"/>
        <v>-0.776476181566014</v>
      </c>
    </row>
    <row r="337" spans="1:7">
      <c r="A337" s="1">
        <v>39035</v>
      </c>
      <c r="B337">
        <v>1.2824</v>
      </c>
      <c r="C337">
        <f t="shared" si="25"/>
        <v>-0.046776332029321</v>
      </c>
      <c r="D337">
        <f t="shared" si="26"/>
        <v>0.111290106899813</v>
      </c>
      <c r="E337">
        <f t="shared" si="27"/>
        <v>0.112827304544745</v>
      </c>
      <c r="F337">
        <f t="shared" si="29"/>
        <v>-1.08797717835545</v>
      </c>
      <c r="G337">
        <f t="shared" si="28"/>
        <v>-1.08125210750314</v>
      </c>
    </row>
    <row r="338" spans="1:7">
      <c r="A338" s="1">
        <v>39036</v>
      </c>
      <c r="B338">
        <v>1.2792</v>
      </c>
      <c r="C338">
        <f t="shared" si="25"/>
        <v>-0.249843977559874</v>
      </c>
      <c r="D338">
        <f t="shared" si="26"/>
        <v>0.100379898733643</v>
      </c>
      <c r="E338">
        <f t="shared" si="27"/>
        <v>0.107167067533966</v>
      </c>
      <c r="F338">
        <f t="shared" si="29"/>
        <v>-0.838467800945143</v>
      </c>
      <c r="G338">
        <f t="shared" si="28"/>
        <v>-0.825446222741616</v>
      </c>
    </row>
    <row r="339" spans="1:7">
      <c r="A339" s="1">
        <v>39037</v>
      </c>
      <c r="B339">
        <v>1.2804</v>
      </c>
      <c r="C339">
        <f t="shared" si="25"/>
        <v>0.0937646575963654</v>
      </c>
      <c r="D339">
        <f t="shared" si="26"/>
        <v>0.096584110172573</v>
      </c>
      <c r="E339">
        <f t="shared" si="27"/>
        <v>0.104858144138075</v>
      </c>
      <c r="F339">
        <f t="shared" si="29"/>
        <v>-1.12315676633967</v>
      </c>
      <c r="G339">
        <f t="shared" si="28"/>
        <v>-1.08565102098752</v>
      </c>
    </row>
    <row r="340" spans="1:7">
      <c r="A340" s="1">
        <v>39038</v>
      </c>
      <c r="B340">
        <v>1.2774</v>
      </c>
      <c r="C340">
        <f t="shared" si="25"/>
        <v>-0.234576696821912</v>
      </c>
      <c r="D340">
        <f t="shared" si="26"/>
        <v>0.087804880256732</v>
      </c>
      <c r="E340">
        <f t="shared" si="27"/>
        <v>0.100006246040499</v>
      </c>
      <c r="F340">
        <f t="shared" si="29"/>
        <v>-0.902975315043132</v>
      </c>
      <c r="G340">
        <f t="shared" si="28"/>
        <v>-0.876147367539137</v>
      </c>
    </row>
    <row r="341" spans="1:7">
      <c r="A341" s="1">
        <v>39041</v>
      </c>
      <c r="B341">
        <v>1.2841</v>
      </c>
      <c r="C341">
        <f t="shared" si="25"/>
        <v>0.523132170973932</v>
      </c>
      <c r="D341">
        <f t="shared" si="26"/>
        <v>0.0845270149002467</v>
      </c>
      <c r="E341">
        <f t="shared" si="27"/>
        <v>0.0977571826126628</v>
      </c>
      <c r="F341">
        <f t="shared" si="29"/>
        <v>0.383473362111431</v>
      </c>
      <c r="G341">
        <f t="shared" si="28"/>
        <v>0.237095421444584</v>
      </c>
    </row>
    <row r="342" spans="1:7">
      <c r="A342" s="1">
        <v>39042</v>
      </c>
      <c r="B342">
        <v>1.2814</v>
      </c>
      <c r="C342">
        <f t="shared" si="25"/>
        <v>-0.210485363230699</v>
      </c>
      <c r="D342">
        <f t="shared" si="26"/>
        <v>0.103441040241012</v>
      </c>
      <c r="E342">
        <f t="shared" si="27"/>
        <v>0.106575115071298</v>
      </c>
      <c r="F342">
        <f t="shared" si="29"/>
        <v>-0.920225339390006</v>
      </c>
      <c r="G342">
        <f t="shared" si="28"/>
        <v>-0.911598805035809</v>
      </c>
    </row>
    <row r="343" spans="1:7">
      <c r="A343" s="1">
        <v>39043</v>
      </c>
      <c r="B343">
        <v>1.2886</v>
      </c>
      <c r="C343">
        <f t="shared" si="25"/>
        <v>0.560312749962083</v>
      </c>
      <c r="D343">
        <f t="shared" si="26"/>
        <v>0.0975273450303467</v>
      </c>
      <c r="E343">
        <f t="shared" si="27"/>
        <v>0.103395812573738</v>
      </c>
      <c r="F343">
        <f t="shared" si="29"/>
        <v>0.445739280541098</v>
      </c>
      <c r="G343">
        <f t="shared" si="28"/>
        <v>0.383601364433357</v>
      </c>
    </row>
    <row r="344" spans="1:7">
      <c r="A344" s="1">
        <v>39044</v>
      </c>
      <c r="B344">
        <v>1.2953</v>
      </c>
      <c r="C344">
        <f t="shared" si="25"/>
        <v>0.518597083166818</v>
      </c>
      <c r="D344">
        <f t="shared" si="26"/>
        <v>0.119169648304319</v>
      </c>
      <c r="E344">
        <f t="shared" si="27"/>
        <v>0.113889582707817</v>
      </c>
      <c r="F344">
        <f t="shared" si="29"/>
        <v>0.0648000676802369</v>
      </c>
      <c r="G344">
        <f t="shared" si="28"/>
        <v>0.0944549496729215</v>
      </c>
    </row>
    <row r="345" spans="1:7">
      <c r="A345" s="1">
        <v>39045</v>
      </c>
      <c r="B345">
        <v>1.3078</v>
      </c>
      <c r="C345">
        <f t="shared" si="25"/>
        <v>0.960400759096548</v>
      </c>
      <c r="D345">
        <f t="shared" si="26"/>
        <v>0.1341469769408</v>
      </c>
      <c r="E345">
        <f t="shared" si="27"/>
        <v>0.121503354478805</v>
      </c>
      <c r="F345">
        <f t="shared" si="29"/>
        <v>2.433497217233</v>
      </c>
      <c r="G345">
        <f t="shared" si="28"/>
        <v>2.74174824752703</v>
      </c>
    </row>
    <row r="346" spans="1:7">
      <c r="A346" s="1">
        <v>39048</v>
      </c>
      <c r="B346">
        <v>1.3114</v>
      </c>
      <c r="C346">
        <f t="shared" si="25"/>
        <v>0.274893270234344</v>
      </c>
      <c r="D346">
        <f t="shared" si="26"/>
        <v>0.212969241054043</v>
      </c>
      <c r="E346">
        <f t="shared" si="27"/>
        <v>0.161331634113738</v>
      </c>
      <c r="F346">
        <f t="shared" si="29"/>
        <v>-0.595892442026758</v>
      </c>
      <c r="G346">
        <f t="shared" si="28"/>
        <v>-0.677951020473999</v>
      </c>
    </row>
    <row r="347" spans="1:7">
      <c r="A347" s="1">
        <v>39049</v>
      </c>
      <c r="B347">
        <v>1.3147</v>
      </c>
      <c r="C347">
        <f t="shared" si="25"/>
        <v>0.251323387303963</v>
      </c>
      <c r="D347">
        <f t="shared" si="26"/>
        <v>0.199228947950652</v>
      </c>
      <c r="E347">
        <f t="shared" si="27"/>
        <v>0.15643005156792</v>
      </c>
      <c r="F347">
        <f t="shared" si="29"/>
        <v>-0.648130564280853</v>
      </c>
      <c r="G347">
        <f t="shared" si="28"/>
        <v>-0.725682782206001</v>
      </c>
    </row>
    <row r="348" spans="1:7">
      <c r="A348" s="1">
        <v>39050</v>
      </c>
      <c r="B348">
        <v>1.3157</v>
      </c>
      <c r="C348">
        <f t="shared" si="25"/>
        <v>0.0760340669234062</v>
      </c>
      <c r="D348">
        <f t="shared" si="26"/>
        <v>0.18562239765618</v>
      </c>
      <c r="E348">
        <f t="shared" si="27"/>
        <v>0.151202420724142</v>
      </c>
      <c r="F348">
        <f t="shared" si="29"/>
        <v>-0.826447975903358</v>
      </c>
      <c r="G348">
        <f t="shared" si="28"/>
        <v>-0.925450552188413</v>
      </c>
    </row>
    <row r="349" spans="1:7">
      <c r="A349" s="1">
        <v>39051</v>
      </c>
      <c r="B349">
        <v>1.32</v>
      </c>
      <c r="C349">
        <f t="shared" si="25"/>
        <v>0.326289320862403</v>
      </c>
      <c r="D349">
        <f t="shared" si="26"/>
        <v>0.167638275823854</v>
      </c>
      <c r="E349">
        <f t="shared" si="27"/>
        <v>0.143419334447339</v>
      </c>
      <c r="F349">
        <f t="shared" si="29"/>
        <v>-0.575430373858734</v>
      </c>
      <c r="G349">
        <f t="shared" si="28"/>
        <v>-0.599825406651761</v>
      </c>
    </row>
    <row r="350" spans="1:7">
      <c r="A350" s="1">
        <v>39052</v>
      </c>
      <c r="B350">
        <v>1.3244</v>
      </c>
      <c r="C350">
        <f t="shared" si="25"/>
        <v>0.332779009267475</v>
      </c>
      <c r="D350">
        <f t="shared" si="26"/>
        <v>0.161520920332353</v>
      </c>
      <c r="E350">
        <f t="shared" si="27"/>
        <v>0.141137410425941</v>
      </c>
      <c r="F350">
        <f t="shared" si="29"/>
        <v>-0.568750626668136</v>
      </c>
      <c r="G350">
        <f t="shared" si="28"/>
        <v>-0.586691329091173</v>
      </c>
    </row>
    <row r="351" spans="1:7">
      <c r="A351" s="1">
        <v>39055</v>
      </c>
      <c r="B351">
        <v>1.3309</v>
      </c>
      <c r="C351">
        <f t="shared" si="25"/>
        <v>0.489587841941912</v>
      </c>
      <c r="D351">
        <f t="shared" si="26"/>
        <v>0.156443015200022</v>
      </c>
      <c r="E351">
        <f t="shared" si="27"/>
        <v>0.139206259250837</v>
      </c>
      <c r="F351">
        <f t="shared" si="29"/>
        <v>-0.161450050403578</v>
      </c>
      <c r="G351">
        <f t="shared" si="28"/>
        <v>-0.124960068635536</v>
      </c>
    </row>
    <row r="352" spans="1:7">
      <c r="A352" s="1">
        <v>39056</v>
      </c>
      <c r="B352">
        <v>1.3331</v>
      </c>
      <c r="C352">
        <f t="shared" si="25"/>
        <v>0.165165202712073</v>
      </c>
      <c r="D352">
        <f t="shared" si="26"/>
        <v>0.164768339177754</v>
      </c>
      <c r="E352">
        <f t="shared" si="27"/>
        <v>0.143838696444653</v>
      </c>
      <c r="F352">
        <f t="shared" si="29"/>
        <v>-0.818825887232711</v>
      </c>
      <c r="G352">
        <f t="shared" si="28"/>
        <v>-0.874704524284479</v>
      </c>
    </row>
    <row r="353" spans="1:7">
      <c r="A353" s="1">
        <v>39057</v>
      </c>
      <c r="B353">
        <v>1.3274</v>
      </c>
      <c r="C353">
        <f t="shared" si="25"/>
        <v>-0.428491540780669</v>
      </c>
      <c r="D353">
        <f t="shared" si="26"/>
        <v>0.15101945967867</v>
      </c>
      <c r="E353">
        <f t="shared" si="27"/>
        <v>0.13757235186732</v>
      </c>
      <c r="F353">
        <f t="shared" si="29"/>
        <v>-0.337288050743713</v>
      </c>
      <c r="G353">
        <f t="shared" si="28"/>
        <v>-0.324499237073623</v>
      </c>
    </row>
    <row r="354" spans="1:7">
      <c r="A354" s="1">
        <v>39058</v>
      </c>
      <c r="B354">
        <v>1.3297</v>
      </c>
      <c r="C354">
        <f t="shared" si="25"/>
        <v>0.173121115083576</v>
      </c>
      <c r="D354">
        <f t="shared" si="26"/>
        <v>0.154278013762862</v>
      </c>
      <c r="E354">
        <f t="shared" si="27"/>
        <v>0.139498260781311</v>
      </c>
      <c r="F354">
        <f t="shared" si="29"/>
        <v>-0.837366678941323</v>
      </c>
      <c r="G354">
        <f t="shared" si="28"/>
        <v>-0.877427579269378</v>
      </c>
    </row>
    <row r="355" spans="1:7">
      <c r="A355" s="1">
        <v>39059</v>
      </c>
      <c r="B355">
        <v>1.3276</v>
      </c>
      <c r="C355">
        <f t="shared" si="25"/>
        <v>-0.158055201684082</v>
      </c>
      <c r="D355">
        <f t="shared" si="26"/>
        <v>0.141847304435354</v>
      </c>
      <c r="E355">
        <f t="shared" si="27"/>
        <v>0.133626911158821</v>
      </c>
      <c r="F355">
        <f t="shared" si="29"/>
        <v>-0.888444529541565</v>
      </c>
      <c r="G355">
        <f t="shared" si="28"/>
        <v>-0.912877193789841</v>
      </c>
    </row>
    <row r="356" spans="1:7">
      <c r="A356" s="1">
        <v>39062</v>
      </c>
      <c r="B356">
        <v>1.3177</v>
      </c>
      <c r="C356">
        <f t="shared" si="25"/>
        <v>-0.748500829461289</v>
      </c>
      <c r="D356">
        <f t="shared" si="26"/>
        <v>0.130160718669758</v>
      </c>
      <c r="E356">
        <f t="shared" si="27"/>
        <v>0.127858368828262</v>
      </c>
      <c r="F356">
        <f t="shared" si="29"/>
        <v>1.13266776416318</v>
      </c>
      <c r="G356">
        <f t="shared" si="28"/>
        <v>1.16249837401081</v>
      </c>
    </row>
    <row r="357" spans="1:7">
      <c r="A357" s="1">
        <v>39063</v>
      </c>
      <c r="B357">
        <v>1.3244</v>
      </c>
      <c r="C357">
        <f t="shared" si="25"/>
        <v>0.507173412188471</v>
      </c>
      <c r="D357">
        <f t="shared" si="26"/>
        <v>0.173169995973206</v>
      </c>
      <c r="E357">
        <f t="shared" si="27"/>
        <v>0.149199541283778</v>
      </c>
      <c r="F357">
        <f t="shared" si="29"/>
        <v>-0.134046084073543</v>
      </c>
      <c r="G357">
        <f t="shared" si="28"/>
        <v>-0.0892190430737944</v>
      </c>
    </row>
    <row r="358" spans="1:7">
      <c r="A358" s="1">
        <v>39064</v>
      </c>
      <c r="B358">
        <v>1.3265</v>
      </c>
      <c r="C358">
        <f t="shared" si="25"/>
        <v>0.15843679047031</v>
      </c>
      <c r="D358">
        <f t="shared" si="26"/>
        <v>0.181575483378975</v>
      </c>
      <c r="E358">
        <f t="shared" si="27"/>
        <v>0.154108812308296</v>
      </c>
      <c r="F358">
        <f t="shared" si="29"/>
        <v>-0.783918548364799</v>
      </c>
      <c r="G358">
        <f t="shared" si="28"/>
        <v>-0.853605018728932</v>
      </c>
    </row>
    <row r="359" spans="1:7">
      <c r="A359" s="1">
        <v>39065</v>
      </c>
      <c r="B359">
        <v>1.3192</v>
      </c>
      <c r="C359">
        <f t="shared" si="25"/>
        <v>-0.551840233240525</v>
      </c>
      <c r="D359">
        <f t="shared" si="26"/>
        <v>0.165928156698531</v>
      </c>
      <c r="E359">
        <f t="shared" si="27"/>
        <v>0.147117394398525</v>
      </c>
      <c r="F359">
        <f t="shared" si="29"/>
        <v>0.0195488994174532</v>
      </c>
      <c r="G359">
        <f t="shared" si="28"/>
        <v>0.0767195669785746</v>
      </c>
    </row>
    <row r="360" spans="1:7">
      <c r="A360" s="1">
        <v>39066</v>
      </c>
      <c r="B360">
        <v>1.3106</v>
      </c>
      <c r="C360">
        <f t="shared" si="25"/>
        <v>-0.654044463999263</v>
      </c>
      <c r="D360">
        <f t="shared" si="26"/>
        <v>0.179788105330974</v>
      </c>
      <c r="E360">
        <f t="shared" si="27"/>
        <v>0.154516732885761</v>
      </c>
      <c r="F360">
        <f t="shared" si="29"/>
        <v>0.331673862288371</v>
      </c>
      <c r="G360">
        <f t="shared" si="28"/>
        <v>0.450506037997794</v>
      </c>
    </row>
    <row r="361" spans="1:7">
      <c r="A361" s="1">
        <v>39069</v>
      </c>
      <c r="B361">
        <v>1.3095</v>
      </c>
      <c r="C361">
        <f t="shared" si="25"/>
        <v>-0.0839662657629817</v>
      </c>
      <c r="D361">
        <f t="shared" si="26"/>
        <v>0.204586710886685</v>
      </c>
      <c r="E361">
        <f t="shared" si="27"/>
        <v>0.16763443695702</v>
      </c>
      <c r="F361">
        <f t="shared" si="29"/>
        <v>-0.776151015757658</v>
      </c>
      <c r="G361">
        <f t="shared" si="28"/>
        <v>-0.871955925945865</v>
      </c>
    </row>
    <row r="362" spans="1:7">
      <c r="A362" s="1">
        <v>39070</v>
      </c>
      <c r="B362">
        <v>1.3158</v>
      </c>
      <c r="C362">
        <f t="shared" si="25"/>
        <v>0.479946070413091</v>
      </c>
      <c r="D362">
        <f t="shared" si="26"/>
        <v>0.184833073176634</v>
      </c>
      <c r="E362">
        <f t="shared" si="27"/>
        <v>0.158928887428907</v>
      </c>
      <c r="F362">
        <f t="shared" si="29"/>
        <v>-0.221026048865287</v>
      </c>
      <c r="G362">
        <f t="shared" si="28"/>
        <v>-0.194959591490828</v>
      </c>
    </row>
    <row r="363" spans="1:7">
      <c r="A363" s="1">
        <v>39071</v>
      </c>
      <c r="B363">
        <v>1.3203</v>
      </c>
      <c r="C363">
        <f t="shared" si="25"/>
        <v>0.34141378332579</v>
      </c>
      <c r="D363">
        <f t="shared" si="26"/>
        <v>0.189384588909468</v>
      </c>
      <c r="E363">
        <f t="shared" si="27"/>
        <v>0.161910565708421</v>
      </c>
      <c r="F363">
        <f t="shared" si="29"/>
        <v>-0.52424524071447</v>
      </c>
      <c r="G363">
        <f t="shared" si="28"/>
        <v>-0.550393365736956</v>
      </c>
    </row>
    <row r="364" spans="1:7">
      <c r="A364" s="1">
        <v>39072</v>
      </c>
      <c r="B364">
        <v>1.3178</v>
      </c>
      <c r="C364">
        <f t="shared" si="25"/>
        <v>-0.189530400543582</v>
      </c>
      <c r="D364">
        <f t="shared" si="26"/>
        <v>0.182102467163004</v>
      </c>
      <c r="E364">
        <f t="shared" si="27"/>
        <v>0.159024100338158</v>
      </c>
      <c r="F364">
        <f t="shared" si="29"/>
        <v>-0.752962212844016</v>
      </c>
      <c r="G364">
        <f t="shared" si="28"/>
        <v>-0.80640532692138</v>
      </c>
    </row>
    <row r="365" spans="1:7">
      <c r="A365" s="1">
        <v>39073</v>
      </c>
      <c r="B365">
        <v>1.3192</v>
      </c>
      <c r="C365">
        <f t="shared" si="25"/>
        <v>0.106181276566944</v>
      </c>
      <c r="D365">
        <f t="shared" si="26"/>
        <v>0.167484397719724</v>
      </c>
      <c r="E365">
        <f t="shared" si="27"/>
        <v>0.152278742954379</v>
      </c>
      <c r="F365">
        <f t="shared" si="29"/>
        <v>-0.859774289896393</v>
      </c>
      <c r="G365">
        <f t="shared" si="28"/>
        <v>-0.904002137248065</v>
      </c>
    </row>
    <row r="366" spans="1:7">
      <c r="A366" s="1">
        <v>39078</v>
      </c>
      <c r="B366">
        <v>1.3159</v>
      </c>
      <c r="C366">
        <f t="shared" si="25"/>
        <v>-0.250465008929413</v>
      </c>
      <c r="D366">
        <f t="shared" si="26"/>
        <v>0.151863404297091</v>
      </c>
      <c r="E366">
        <f t="shared" si="27"/>
        <v>0.144705741551785</v>
      </c>
      <c r="F366">
        <f t="shared" si="29"/>
        <v>-0.735843663865458</v>
      </c>
      <c r="G366">
        <f t="shared" si="28"/>
        <v>-0.749766871867862</v>
      </c>
    </row>
    <row r="367" spans="1:7">
      <c r="A367" s="1">
        <v>39079</v>
      </c>
      <c r="B367">
        <v>1.3173</v>
      </c>
      <c r="C367">
        <f t="shared" si="25"/>
        <v>0.106334507968651</v>
      </c>
      <c r="D367">
        <f t="shared" si="26"/>
        <v>0.142950335937183</v>
      </c>
      <c r="E367">
        <f t="shared" si="27"/>
        <v>0.140160033093579</v>
      </c>
      <c r="F367">
        <f t="shared" si="29"/>
        <v>-0.933080208263956</v>
      </c>
      <c r="G367">
        <f t="shared" si="28"/>
        <v>-0.942149074438781</v>
      </c>
    </row>
    <row r="368" spans="1:7">
      <c r="A368" s="1">
        <v>39080</v>
      </c>
      <c r="B368">
        <v>1.317</v>
      </c>
      <c r="C368">
        <f t="shared" si="25"/>
        <v>-0.0227764492500415</v>
      </c>
      <c r="D368">
        <f t="shared" si="26"/>
        <v>0.129786005101958</v>
      </c>
      <c r="E368">
        <f t="shared" si="27"/>
        <v>0.133315782487211</v>
      </c>
      <c r="F368">
        <f t="shared" si="29"/>
        <v>-1.01893560358572</v>
      </c>
      <c r="G368">
        <f t="shared" si="28"/>
        <v>-1.0055716992685</v>
      </c>
    </row>
    <row r="369" spans="1:7">
      <c r="A369" s="1">
        <v>39084</v>
      </c>
      <c r="B369">
        <v>1.327</v>
      </c>
      <c r="C369">
        <f t="shared" si="25"/>
        <v>0.756433258892639</v>
      </c>
      <c r="D369">
        <f t="shared" si="26"/>
        <v>0.116859281255806</v>
      </c>
      <c r="E369">
        <f t="shared" si="27"/>
        <v>0.12634277387</v>
      </c>
      <c r="F369">
        <f t="shared" si="29"/>
        <v>1.37481398080394</v>
      </c>
      <c r="G369">
        <f t="shared" si="28"/>
        <v>1.23006173408886</v>
      </c>
    </row>
    <row r="370" spans="1:7">
      <c r="A370" s="1">
        <v>39085</v>
      </c>
      <c r="B370">
        <v>1.3231</v>
      </c>
      <c r="C370">
        <f t="shared" si="25"/>
        <v>-0.294328728384222</v>
      </c>
      <c r="D370">
        <f t="shared" si="26"/>
        <v>0.162392480646119</v>
      </c>
      <c r="E370">
        <f t="shared" si="27"/>
        <v>0.148371771195747</v>
      </c>
      <c r="F370">
        <f t="shared" si="29"/>
        <v>-0.642141092880879</v>
      </c>
      <c r="G370">
        <f t="shared" si="28"/>
        <v>-0.66208352825593</v>
      </c>
    </row>
    <row r="371" spans="1:7">
      <c r="A371" s="1">
        <v>39086</v>
      </c>
      <c r="B371">
        <v>1.3106</v>
      </c>
      <c r="C371">
        <f t="shared" si="25"/>
        <v>-0.949242044296878</v>
      </c>
      <c r="D371">
        <f t="shared" si="26"/>
        <v>0.154816172616735</v>
      </c>
      <c r="E371">
        <f t="shared" si="27"/>
        <v>0.144800934941616</v>
      </c>
      <c r="F371">
        <f t="shared" si="29"/>
        <v>1.97733954339524</v>
      </c>
      <c r="G371">
        <f t="shared" si="28"/>
        <v>2.14517885079113</v>
      </c>
    </row>
    <row r="372" spans="1:7">
      <c r="A372" s="1">
        <v>39087</v>
      </c>
      <c r="B372">
        <v>1.3084</v>
      </c>
      <c r="C372">
        <f t="shared" si="25"/>
        <v>-0.168003094116758</v>
      </c>
      <c r="D372">
        <f t="shared" si="26"/>
        <v>0.229440601221153</v>
      </c>
      <c r="E372">
        <f t="shared" si="27"/>
        <v>0.182165901778165</v>
      </c>
      <c r="F372">
        <f t="shared" si="29"/>
        <v>-0.674547170032106</v>
      </c>
      <c r="G372">
        <f t="shared" si="28"/>
        <v>-0.773948030047227</v>
      </c>
    </row>
    <row r="373" spans="1:7">
      <c r="A373" s="1">
        <v>39090</v>
      </c>
      <c r="B373">
        <v>1.3006</v>
      </c>
      <c r="C373">
        <f t="shared" si="25"/>
        <v>-0.59793202291774</v>
      </c>
      <c r="D373">
        <f t="shared" si="26"/>
        <v>0.209319045062318</v>
      </c>
      <c r="E373">
        <f t="shared" si="27"/>
        <v>0.173647199653115</v>
      </c>
      <c r="F373">
        <f t="shared" si="29"/>
        <v>0.0720659650927421</v>
      </c>
      <c r="G373">
        <f t="shared" si="28"/>
        <v>0.154086582390334</v>
      </c>
    </row>
    <row r="374" spans="1:7">
      <c r="A374" s="1">
        <v>39091</v>
      </c>
      <c r="B374">
        <v>1.3018</v>
      </c>
      <c r="C374">
        <f t="shared" si="25"/>
        <v>0.0922225703235625</v>
      </c>
      <c r="D374">
        <f t="shared" si="26"/>
        <v>0.224139410959136</v>
      </c>
      <c r="E374">
        <f t="shared" si="27"/>
        <v>0.182104502875453</v>
      </c>
      <c r="F374">
        <f t="shared" si="29"/>
        <v>-0.728770952620442</v>
      </c>
      <c r="G374">
        <f t="shared" si="28"/>
        <v>-0.828235299625867</v>
      </c>
    </row>
    <row r="375" spans="1:7">
      <c r="A375" s="1">
        <v>39092</v>
      </c>
      <c r="B375">
        <v>1.2988</v>
      </c>
      <c r="C375">
        <f t="shared" si="25"/>
        <v>-0.230716090959612</v>
      </c>
      <c r="D375">
        <f t="shared" si="26"/>
        <v>0.202575970110931</v>
      </c>
      <c r="E375">
        <f t="shared" si="27"/>
        <v>0.17260348282678</v>
      </c>
      <c r="F375">
        <f t="shared" si="29"/>
        <v>-0.666937552537463</v>
      </c>
      <c r="G375">
        <f t="shared" si="28"/>
        <v>-0.724182056262251</v>
      </c>
    </row>
    <row r="376" spans="1:7">
      <c r="A376" s="1">
        <v>39093</v>
      </c>
      <c r="B376">
        <v>1.2984</v>
      </c>
      <c r="C376">
        <f t="shared" si="25"/>
        <v>-0.0308024028309349</v>
      </c>
      <c r="D376">
        <f t="shared" si="26"/>
        <v>0.187641364562606</v>
      </c>
      <c r="E376">
        <f t="shared" si="27"/>
        <v>0.165908769588557</v>
      </c>
      <c r="F376">
        <f t="shared" si="29"/>
        <v>-0.834083191386919</v>
      </c>
      <c r="G376">
        <f t="shared" si="28"/>
        <v>-0.895299244551692</v>
      </c>
    </row>
    <row r="377" spans="1:7">
      <c r="A377" s="1">
        <v>39094</v>
      </c>
      <c r="B377">
        <v>1.2893</v>
      </c>
      <c r="C377">
        <f t="shared" si="25"/>
        <v>-0.703330178358969</v>
      </c>
      <c r="D377">
        <f t="shared" si="26"/>
        <v>0.168972106908362</v>
      </c>
      <c r="E377">
        <f t="shared" si="27"/>
        <v>0.157001682814252</v>
      </c>
      <c r="F377">
        <f t="shared" si="29"/>
        <v>0.574761370810789</v>
      </c>
      <c r="G377">
        <f t="shared" si="28"/>
        <v>0.649626538551253</v>
      </c>
    </row>
    <row r="378" spans="1:7">
      <c r="A378" s="1">
        <v>39097</v>
      </c>
      <c r="B378">
        <v>1.2941</v>
      </c>
      <c r="C378">
        <f t="shared" si="25"/>
        <v>0.371603741083256</v>
      </c>
      <c r="D378">
        <f t="shared" si="26"/>
        <v>0.201542230196571</v>
      </c>
      <c r="E378">
        <f t="shared" si="27"/>
        <v>0.17331524883492</v>
      </c>
      <c r="F378">
        <f t="shared" si="29"/>
        <v>-0.458296518083171</v>
      </c>
      <c r="G378">
        <f t="shared" si="28"/>
        <v>-0.477945347808481</v>
      </c>
    </row>
    <row r="379" spans="1:7">
      <c r="A379" s="1">
        <v>39098</v>
      </c>
      <c r="B379">
        <v>1.2953</v>
      </c>
      <c r="C379">
        <f t="shared" si="25"/>
        <v>0.0926855708585838</v>
      </c>
      <c r="D379">
        <f t="shared" si="26"/>
        <v>0.195196941215621</v>
      </c>
      <c r="E379">
        <f t="shared" si="27"/>
        <v>0.170820800924178</v>
      </c>
      <c r="F379">
        <f t="shared" si="29"/>
        <v>-0.794868143551519</v>
      </c>
      <c r="G379">
        <f t="shared" si="28"/>
        <v>-0.858425001682508</v>
      </c>
    </row>
    <row r="380" spans="1:7">
      <c r="A380" s="1">
        <v>39099</v>
      </c>
      <c r="B380">
        <v>1.2909</v>
      </c>
      <c r="C380">
        <f t="shared" si="25"/>
        <v>-0.340267902354666</v>
      </c>
      <c r="D380">
        <f t="shared" si="26"/>
        <v>0.176536308598597</v>
      </c>
      <c r="E380">
        <f t="shared" si="27"/>
        <v>0.162001083620997</v>
      </c>
      <c r="F380">
        <f t="shared" si="29"/>
        <v>-0.539186784714194</v>
      </c>
      <c r="G380">
        <f t="shared" si="28"/>
        <v>-0.55272590852359</v>
      </c>
    </row>
    <row r="381" spans="1:7">
      <c r="A381" s="1">
        <v>39100</v>
      </c>
      <c r="B381">
        <v>1.2922</v>
      </c>
      <c r="C381">
        <f t="shared" si="25"/>
        <v>0.100654261140147</v>
      </c>
      <c r="D381">
        <f t="shared" si="26"/>
        <v>0.170460902276022</v>
      </c>
      <c r="E381">
        <f t="shared" si="27"/>
        <v>0.159070130872379</v>
      </c>
      <c r="F381">
        <f t="shared" si="29"/>
        <v>-0.854907346446329</v>
      </c>
      <c r="G381">
        <f t="shared" si="28"/>
        <v>-0.887359723867873</v>
      </c>
    </row>
    <row r="382" spans="1:7">
      <c r="A382" s="1">
        <v>39101</v>
      </c>
      <c r="B382">
        <v>1.2958</v>
      </c>
      <c r="C382">
        <f t="shared" si="25"/>
        <v>0.278207289179181</v>
      </c>
      <c r="D382">
        <f t="shared" si="26"/>
        <v>0.154427940076987</v>
      </c>
      <c r="E382">
        <f t="shared" si="27"/>
        <v>0.15103248703432</v>
      </c>
      <c r="F382">
        <f t="shared" si="29"/>
        <v>-0.683413809902581</v>
      </c>
      <c r="G382">
        <f t="shared" si="28"/>
        <v>-0.68889622859521</v>
      </c>
    </row>
    <row r="383" spans="1:7">
      <c r="A383" s="1">
        <v>39104</v>
      </c>
      <c r="B383">
        <v>1.2936</v>
      </c>
      <c r="C383">
        <f t="shared" si="25"/>
        <v>-0.16992357529598</v>
      </c>
      <c r="D383">
        <f t="shared" si="26"/>
        <v>0.146725075644531</v>
      </c>
      <c r="E383">
        <f t="shared" si="27"/>
        <v>0.146840502599882</v>
      </c>
      <c r="F383">
        <f t="shared" si="29"/>
        <v>-0.86120235960233</v>
      </c>
      <c r="G383">
        <f t="shared" si="28"/>
        <v>-0.860886515272338</v>
      </c>
    </row>
    <row r="384" spans="1:7">
      <c r="A384" s="1">
        <v>39105</v>
      </c>
      <c r="B384">
        <v>1.304</v>
      </c>
      <c r="C384">
        <f t="shared" si="25"/>
        <v>0.80074342237012</v>
      </c>
      <c r="D384">
        <f t="shared" si="26"/>
        <v>0.134939970224215</v>
      </c>
      <c r="E384">
        <f t="shared" si="27"/>
        <v>0.140473773515957</v>
      </c>
      <c r="F384">
        <f t="shared" si="29"/>
        <v>1.37437170138518</v>
      </c>
      <c r="G384">
        <f t="shared" si="28"/>
        <v>1.30087382679809</v>
      </c>
    </row>
    <row r="385" spans="1:7">
      <c r="A385" s="1">
        <v>39106</v>
      </c>
      <c r="B385">
        <v>1.3005</v>
      </c>
      <c r="C385">
        <f t="shared" si="25"/>
        <v>-0.268765759789204</v>
      </c>
      <c r="D385">
        <f t="shared" si="26"/>
        <v>0.185564976048695</v>
      </c>
      <c r="E385">
        <f t="shared" si="27"/>
        <v>0.165104848528451</v>
      </c>
      <c r="F385">
        <f t="shared" si="29"/>
        <v>-0.647539672791371</v>
      </c>
      <c r="G385">
        <f t="shared" si="28"/>
        <v>-0.681832246243926</v>
      </c>
    </row>
    <row r="386" spans="1:7">
      <c r="A386" s="1">
        <v>39107</v>
      </c>
      <c r="B386">
        <v>1.2978</v>
      </c>
      <c r="C386">
        <f t="shared" si="25"/>
        <v>-0.207828270163807</v>
      </c>
      <c r="D386">
        <f t="shared" si="26"/>
        <v>0.174231981807332</v>
      </c>
      <c r="E386">
        <f t="shared" si="27"/>
        <v>0.159810309298497</v>
      </c>
      <c r="F386">
        <f t="shared" si="29"/>
        <v>-0.749732437440522</v>
      </c>
      <c r="G386">
        <f t="shared" si="28"/>
        <v>-0.781746809593691</v>
      </c>
    </row>
    <row r="387" spans="1:7">
      <c r="A387" s="1">
        <v>39108</v>
      </c>
      <c r="B387">
        <v>1.2901</v>
      </c>
      <c r="C387">
        <f t="shared" si="25"/>
        <v>-0.59507884559772</v>
      </c>
      <c r="D387">
        <f t="shared" si="26"/>
        <v>0.161128042614527</v>
      </c>
      <c r="E387">
        <f t="shared" si="27"/>
        <v>0.153381320234551</v>
      </c>
      <c r="F387">
        <f t="shared" si="29"/>
        <v>0.186096029971008</v>
      </c>
      <c r="G387">
        <f t="shared" si="28"/>
        <v>0.216959968105004</v>
      </c>
    </row>
    <row r="388" spans="1:7">
      <c r="A388" s="1">
        <v>39111</v>
      </c>
      <c r="B388">
        <v>1.2921</v>
      </c>
      <c r="C388">
        <f t="shared" ref="C388:C451" si="30">100*LN(B388/B387)</f>
        <v>0.154906699708361</v>
      </c>
      <c r="D388">
        <f t="shared" si="26"/>
        <v>0.180427121600866</v>
      </c>
      <c r="E388">
        <f t="shared" si="27"/>
        <v>0.162884382644374</v>
      </c>
      <c r="F388">
        <f t="shared" si="29"/>
        <v>-0.789716170176795</v>
      </c>
      <c r="G388">
        <f t="shared" si="28"/>
        <v>-0.833697447202487</v>
      </c>
    </row>
    <row r="389" spans="1:7">
      <c r="A389" s="1">
        <v>39112</v>
      </c>
      <c r="B389">
        <v>1.2972</v>
      </c>
      <c r="C389">
        <f t="shared" si="30"/>
        <v>0.393929370498823</v>
      </c>
      <c r="D389">
        <f t="shared" ref="D389:D452" si="31">$J$1*D388+(1-$J$1)*C388^2</f>
        <v>0.164784018002233</v>
      </c>
      <c r="E389">
        <f t="shared" ref="E389:E452" si="32">$K$1+$K$2*C388^2+$K$3*E388</f>
        <v>0.155311123966438</v>
      </c>
      <c r="F389">
        <f t="shared" si="29"/>
        <v>-0.430699993586248</v>
      </c>
      <c r="G389">
        <f t="shared" ref="G389:G452" si="33">0.5*(LN(E389)+C389^2/E389)</f>
        <v>-0.431583471098172</v>
      </c>
    </row>
    <row r="390" spans="1:7">
      <c r="A390" s="1">
        <v>39113</v>
      </c>
      <c r="B390">
        <v>1.2954</v>
      </c>
      <c r="C390">
        <f t="shared" si="30"/>
        <v>-0.13885676843461</v>
      </c>
      <c r="D390">
        <f t="shared" si="31"/>
        <v>0.163823651096169</v>
      </c>
      <c r="E390">
        <f t="shared" si="32"/>
        <v>0.154751473975532</v>
      </c>
      <c r="F390">
        <f t="shared" si="29"/>
        <v>-0.845634932547073</v>
      </c>
      <c r="G390">
        <f t="shared" si="33"/>
        <v>-0.870670107911676</v>
      </c>
    </row>
    <row r="391" spans="1:7">
      <c r="A391" s="1">
        <v>39114</v>
      </c>
      <c r="B391">
        <v>1.302</v>
      </c>
      <c r="C391">
        <f t="shared" si="30"/>
        <v>0.508201601969773</v>
      </c>
      <c r="D391">
        <f t="shared" si="31"/>
        <v>0.149369406200563</v>
      </c>
      <c r="E391">
        <f t="shared" si="32"/>
        <v>0.147430445644005</v>
      </c>
      <c r="F391">
        <f t="shared" ref="F391:F454" si="34">0.5*(LN(D391)+C391^2/D391)</f>
        <v>-0.0861357237953324</v>
      </c>
      <c r="G391">
        <f t="shared" si="33"/>
        <v>-0.0812986603952738</v>
      </c>
    </row>
    <row r="392" spans="1:7">
      <c r="A392" s="1">
        <v>39115</v>
      </c>
      <c r="B392">
        <v>1.302</v>
      </c>
      <c r="C392">
        <f t="shared" si="30"/>
        <v>0</v>
      </c>
      <c r="D392">
        <f t="shared" si="31"/>
        <v>0.160259352404971</v>
      </c>
      <c r="E392">
        <f t="shared" si="32"/>
        <v>0.152498062317597</v>
      </c>
      <c r="F392">
        <f t="shared" si="34"/>
        <v>-0.915480911771422</v>
      </c>
      <c r="G392">
        <f t="shared" si="33"/>
        <v>-0.940301694564756</v>
      </c>
    </row>
    <row r="393" spans="1:7">
      <c r="A393" s="1">
        <v>39118</v>
      </c>
      <c r="B393">
        <v>1.2925</v>
      </c>
      <c r="C393">
        <f t="shared" si="30"/>
        <v>-0.732321638593045</v>
      </c>
      <c r="D393">
        <f t="shared" si="31"/>
        <v>0.144233417164474</v>
      </c>
      <c r="E393">
        <f t="shared" si="32"/>
        <v>0.144348178578541</v>
      </c>
      <c r="F393">
        <f t="shared" si="34"/>
        <v>0.890960637588247</v>
      </c>
      <c r="G393">
        <f t="shared" si="33"/>
        <v>0.889880250428714</v>
      </c>
    </row>
    <row r="394" spans="1:7">
      <c r="A394" s="1">
        <v>39119</v>
      </c>
      <c r="B394">
        <v>1.2955</v>
      </c>
      <c r="C394">
        <f t="shared" si="30"/>
        <v>0.231839361958065</v>
      </c>
      <c r="D394">
        <f t="shared" si="31"/>
        <v>0.183439573683187</v>
      </c>
      <c r="E394">
        <f t="shared" si="32"/>
        <v>0.163502036981409</v>
      </c>
      <c r="F394">
        <f t="shared" si="34"/>
        <v>-0.701430363089721</v>
      </c>
      <c r="G394">
        <f t="shared" si="33"/>
        <v>-0.741095434577183</v>
      </c>
    </row>
    <row r="395" spans="1:7">
      <c r="A395" s="1">
        <v>39120</v>
      </c>
      <c r="B395">
        <v>1.2987</v>
      </c>
      <c r="C395">
        <f t="shared" si="30"/>
        <v>0.246704311387972</v>
      </c>
      <c r="D395">
        <f t="shared" si="31"/>
        <v>0.17047056529018</v>
      </c>
      <c r="E395">
        <f t="shared" si="32"/>
        <v>0.15737938925018</v>
      </c>
      <c r="F395">
        <f t="shared" si="34"/>
        <v>-0.706081577446969</v>
      </c>
      <c r="G395">
        <f t="shared" si="33"/>
        <v>-0.731183945730038</v>
      </c>
    </row>
    <row r="396" spans="1:7">
      <c r="A396" s="1">
        <v>39121</v>
      </c>
      <c r="B396">
        <v>1.2991</v>
      </c>
      <c r="C396">
        <f t="shared" si="30"/>
        <v>0.0307952885642553</v>
      </c>
      <c r="D396">
        <f t="shared" si="31"/>
        <v>0.159509810486903</v>
      </c>
      <c r="E396">
        <f t="shared" si="32"/>
        <v>0.15197977675804</v>
      </c>
      <c r="F396">
        <f t="shared" si="34"/>
        <v>-0.914852224912532</v>
      </c>
      <c r="G396">
        <f t="shared" si="33"/>
        <v>-0.938883920505938</v>
      </c>
    </row>
    <row r="397" spans="1:7">
      <c r="A397" s="1">
        <v>39122</v>
      </c>
      <c r="B397">
        <v>1.3007</v>
      </c>
      <c r="C397">
        <f t="shared" si="30"/>
        <v>0.123086406800795</v>
      </c>
      <c r="D397">
        <f t="shared" si="31"/>
        <v>0.143653664417989</v>
      </c>
      <c r="E397">
        <f t="shared" si="32"/>
        <v>0.143908407642446</v>
      </c>
      <c r="F397">
        <f t="shared" si="34"/>
        <v>-0.917443084589489</v>
      </c>
      <c r="G397">
        <f t="shared" si="33"/>
        <v>-0.916650556993547</v>
      </c>
    </row>
    <row r="398" spans="1:7">
      <c r="A398" s="1">
        <v>39125</v>
      </c>
      <c r="B398">
        <v>1.2956</v>
      </c>
      <c r="C398">
        <f t="shared" si="30"/>
        <v>-0.392867277252075</v>
      </c>
      <c r="D398">
        <f t="shared" si="31"/>
        <v>0.130803324330103</v>
      </c>
      <c r="E398">
        <f t="shared" si="32"/>
        <v>0.137031416360855</v>
      </c>
      <c r="F398">
        <f t="shared" si="34"/>
        <v>-0.427042540790823</v>
      </c>
      <c r="G398">
        <f t="shared" si="33"/>
        <v>-0.430599860434651</v>
      </c>
    </row>
    <row r="399" spans="1:7">
      <c r="A399" s="1">
        <v>39126</v>
      </c>
      <c r="B399">
        <v>1.3022</v>
      </c>
      <c r="C399">
        <f t="shared" si="30"/>
        <v>0.508123350558742</v>
      </c>
      <c r="D399">
        <f t="shared" si="31"/>
        <v>0.133157461650638</v>
      </c>
      <c r="E399">
        <f t="shared" si="32"/>
        <v>0.137526766255977</v>
      </c>
      <c r="F399">
        <f t="shared" si="34"/>
        <v>-0.0386226495235252</v>
      </c>
      <c r="G399">
        <f t="shared" si="33"/>
        <v>-0.0532807619226295</v>
      </c>
    </row>
    <row r="400" spans="1:7">
      <c r="A400" s="1">
        <v>39127</v>
      </c>
      <c r="B400">
        <v>1.3082</v>
      </c>
      <c r="C400">
        <f t="shared" si="30"/>
        <v>0.459700472435072</v>
      </c>
      <c r="D400">
        <f t="shared" si="31"/>
        <v>0.145660649423879</v>
      </c>
      <c r="E400">
        <f t="shared" si="32"/>
        <v>0.14318462724977</v>
      </c>
      <c r="F400">
        <f t="shared" si="34"/>
        <v>-0.237837654899649</v>
      </c>
      <c r="G400">
        <f t="shared" si="33"/>
        <v>-0.233866012071774</v>
      </c>
    </row>
    <row r="401" spans="1:7">
      <c r="A401" s="1">
        <v>39128</v>
      </c>
      <c r="B401">
        <v>1.3137</v>
      </c>
      <c r="C401">
        <f t="shared" si="30"/>
        <v>0.419543694835015</v>
      </c>
      <c r="D401">
        <f t="shared" si="31"/>
        <v>0.152227036917194</v>
      </c>
      <c r="E401">
        <f t="shared" si="32"/>
        <v>0.146159775832636</v>
      </c>
      <c r="F401">
        <f t="shared" si="34"/>
        <v>-0.363051650762815</v>
      </c>
      <c r="G401">
        <f t="shared" si="33"/>
        <v>-0.359388760399384</v>
      </c>
    </row>
    <row r="402" spans="1:7">
      <c r="A402" s="1">
        <v>39129</v>
      </c>
      <c r="B402">
        <v>1.3119</v>
      </c>
      <c r="C402">
        <f t="shared" si="30"/>
        <v>-0.137111538847777</v>
      </c>
      <c r="D402">
        <f t="shared" si="31"/>
        <v>0.154606024413056</v>
      </c>
      <c r="E402">
        <f t="shared" si="32"/>
        <v>0.147191034876468</v>
      </c>
      <c r="F402">
        <f t="shared" si="34"/>
        <v>-0.872639264711751</v>
      </c>
      <c r="G402">
        <f t="shared" si="33"/>
        <v>-0.894150851103723</v>
      </c>
    </row>
    <row r="403" spans="1:7">
      <c r="A403" s="1">
        <v>39132</v>
      </c>
      <c r="B403">
        <v>1.3132</v>
      </c>
      <c r="C403">
        <f t="shared" si="30"/>
        <v>0.0990438540452836</v>
      </c>
      <c r="D403">
        <f t="shared" si="31"/>
        <v>0.141025379380271</v>
      </c>
      <c r="E403">
        <f t="shared" si="32"/>
        <v>0.14029955148814</v>
      </c>
      <c r="F403">
        <f t="shared" si="34"/>
        <v>-0.94462784771272</v>
      </c>
      <c r="G403">
        <f t="shared" si="33"/>
        <v>-0.947027956801702</v>
      </c>
    </row>
    <row r="404" spans="1:7">
      <c r="A404" s="1">
        <v>39133</v>
      </c>
      <c r="B404">
        <v>1.3145</v>
      </c>
      <c r="C404">
        <f t="shared" si="30"/>
        <v>0.0989458542498373</v>
      </c>
      <c r="D404">
        <f t="shared" si="31"/>
        <v>0.127903809944658</v>
      </c>
      <c r="E404">
        <f t="shared" si="32"/>
        <v>0.133372062650059</v>
      </c>
      <c r="F404">
        <f t="shared" si="34"/>
        <v>-0.989966340975227</v>
      </c>
      <c r="G404">
        <f t="shared" si="33"/>
        <v>-0.970603399733731</v>
      </c>
    </row>
    <row r="405" spans="1:7">
      <c r="A405" s="1">
        <v>39134</v>
      </c>
      <c r="B405">
        <v>1.3145</v>
      </c>
      <c r="C405">
        <f t="shared" si="30"/>
        <v>0</v>
      </c>
      <c r="D405">
        <f t="shared" si="31"/>
        <v>0.116092457157515</v>
      </c>
      <c r="E405">
        <f t="shared" si="32"/>
        <v>0.126859252994717</v>
      </c>
      <c r="F405">
        <f t="shared" si="34"/>
        <v>-1.07668418044284</v>
      </c>
      <c r="G405">
        <f t="shared" si="33"/>
        <v>-1.03233852560813</v>
      </c>
    </row>
    <row r="406" spans="1:7">
      <c r="A406" s="1">
        <v>39135</v>
      </c>
      <c r="B406">
        <v>1.3106</v>
      </c>
      <c r="C406">
        <f t="shared" si="30"/>
        <v>-0.297131756453947</v>
      </c>
      <c r="D406">
        <f t="shared" si="31"/>
        <v>0.104483211441764</v>
      </c>
      <c r="E406">
        <f t="shared" si="32"/>
        <v>0.120247697815034</v>
      </c>
      <c r="F406">
        <f t="shared" si="34"/>
        <v>-0.706869381529477</v>
      </c>
      <c r="G406">
        <f t="shared" si="33"/>
        <v>-0.691994849123662</v>
      </c>
    </row>
    <row r="407" spans="1:7">
      <c r="A407" s="1">
        <v>39136</v>
      </c>
      <c r="B407">
        <v>1.3134</v>
      </c>
      <c r="C407">
        <f t="shared" si="30"/>
        <v>0.213414715147568</v>
      </c>
      <c r="D407">
        <f t="shared" si="31"/>
        <v>0.102863618366928</v>
      </c>
      <c r="E407">
        <f t="shared" si="32"/>
        <v>0.118447199980802</v>
      </c>
      <c r="F407">
        <f t="shared" si="34"/>
        <v>-0.915786176695448</v>
      </c>
      <c r="G407">
        <f t="shared" si="33"/>
        <v>-0.874381784720637</v>
      </c>
    </row>
    <row r="408" spans="1:7">
      <c r="A408" s="1">
        <v>39139</v>
      </c>
      <c r="B408">
        <v>1.316</v>
      </c>
      <c r="C408">
        <f t="shared" si="30"/>
        <v>0.197763812839043</v>
      </c>
      <c r="D408">
        <f t="shared" si="31"/>
        <v>0.0971318405943871</v>
      </c>
      <c r="E408">
        <f t="shared" si="32"/>
        <v>0.11461766001403</v>
      </c>
      <c r="F408">
        <f t="shared" si="34"/>
        <v>-0.964516013117098</v>
      </c>
      <c r="G408">
        <f t="shared" si="33"/>
        <v>-0.91246369255956</v>
      </c>
    </row>
    <row r="409" spans="1:7">
      <c r="A409" s="1">
        <v>39140</v>
      </c>
      <c r="B409">
        <v>1.323</v>
      </c>
      <c r="C409">
        <f t="shared" si="30"/>
        <v>0.53050522296931</v>
      </c>
      <c r="D409">
        <f t="shared" si="31"/>
        <v>0.091329709101812</v>
      </c>
      <c r="E409">
        <f t="shared" si="32"/>
        <v>0.11069612669662</v>
      </c>
      <c r="F409">
        <f t="shared" si="34"/>
        <v>0.344128456382026</v>
      </c>
      <c r="G409">
        <f t="shared" si="33"/>
        <v>0.17072563439349</v>
      </c>
    </row>
    <row r="410" spans="1:7">
      <c r="A410" s="1">
        <v>39141</v>
      </c>
      <c r="B410">
        <v>1.3211</v>
      </c>
      <c r="C410">
        <f t="shared" si="30"/>
        <v>-0.14371622306473</v>
      </c>
      <c r="D410">
        <f t="shared" si="31"/>
        <v>0.110340317351403</v>
      </c>
      <c r="E410">
        <f t="shared" si="32"/>
        <v>0.119126148674709</v>
      </c>
      <c r="F410">
        <f t="shared" si="34"/>
        <v>-1.00849908595568</v>
      </c>
      <c r="G410">
        <f t="shared" si="33"/>
        <v>-0.977095041268111</v>
      </c>
    </row>
    <row r="411" spans="1:7">
      <c r="A411" s="1">
        <v>39142</v>
      </c>
      <c r="B411">
        <v>1.3225</v>
      </c>
      <c r="C411">
        <f t="shared" si="30"/>
        <v>0.105916184814615</v>
      </c>
      <c r="D411">
        <f t="shared" si="31"/>
        <v>0.101371720893461</v>
      </c>
      <c r="E411">
        <f t="shared" si="32"/>
        <v>0.114011297392826</v>
      </c>
      <c r="F411">
        <f t="shared" si="34"/>
        <v>-1.0891483688398</v>
      </c>
      <c r="G411">
        <f t="shared" si="33"/>
        <v>-1.03653094414372</v>
      </c>
    </row>
    <row r="412" spans="1:7">
      <c r="A412" s="1">
        <v>39143</v>
      </c>
      <c r="B412">
        <v>1.3163</v>
      </c>
      <c r="C412">
        <f t="shared" si="30"/>
        <v>-0.469911430109242</v>
      </c>
      <c r="D412">
        <f t="shared" si="31"/>
        <v>0.0923563726246836</v>
      </c>
      <c r="E412">
        <f t="shared" si="32"/>
        <v>0.10873153145954</v>
      </c>
      <c r="F412">
        <f t="shared" si="34"/>
        <v>0.00441000599517172</v>
      </c>
      <c r="G412">
        <f t="shared" si="33"/>
        <v>-0.0940148446970044</v>
      </c>
    </row>
    <row r="413" spans="1:7">
      <c r="A413" s="1">
        <v>39146</v>
      </c>
      <c r="B413">
        <v>1.3083</v>
      </c>
      <c r="C413">
        <f t="shared" si="30"/>
        <v>-0.609618591453158</v>
      </c>
      <c r="D413">
        <f t="shared" si="31"/>
        <v>0.105202410576947</v>
      </c>
      <c r="E413">
        <f t="shared" si="32"/>
        <v>0.114248477179334</v>
      </c>
      <c r="F413">
        <f t="shared" si="34"/>
        <v>0.640350218189538</v>
      </c>
      <c r="G413">
        <f t="shared" si="33"/>
        <v>0.541742511037032</v>
      </c>
    </row>
    <row r="414" spans="1:7">
      <c r="A414" s="1">
        <v>39147</v>
      </c>
      <c r="B414">
        <v>1.31</v>
      </c>
      <c r="C414">
        <f t="shared" si="30"/>
        <v>0.129855267836669</v>
      </c>
      <c r="D414">
        <f t="shared" si="31"/>
        <v>0.131845652223785</v>
      </c>
      <c r="E414">
        <f t="shared" si="32"/>
        <v>0.12697530990084</v>
      </c>
      <c r="F414">
        <f t="shared" si="34"/>
        <v>-0.949114205482126</v>
      </c>
      <c r="G414">
        <f t="shared" si="33"/>
        <v>-0.965481037426626</v>
      </c>
    </row>
    <row r="415" spans="1:7">
      <c r="A415" s="1">
        <v>39148</v>
      </c>
      <c r="B415">
        <v>1.3135</v>
      </c>
      <c r="C415">
        <f t="shared" si="30"/>
        <v>0.266819293039723</v>
      </c>
      <c r="D415">
        <f t="shared" si="31"/>
        <v>0.1203473260599</v>
      </c>
      <c r="E415">
        <f t="shared" si="32"/>
        <v>0.121199910836036</v>
      </c>
      <c r="F415">
        <f t="shared" si="34"/>
        <v>-0.762907202737766</v>
      </c>
      <c r="G415">
        <f t="shared" si="33"/>
        <v>-0.761458177141621</v>
      </c>
    </row>
    <row r="416" spans="1:7">
      <c r="A416" s="1">
        <v>39149</v>
      </c>
      <c r="B416">
        <v>1.3152</v>
      </c>
      <c r="C416">
        <f t="shared" si="30"/>
        <v>0.129341517632089</v>
      </c>
      <c r="D416">
        <f t="shared" si="31"/>
        <v>0.115431846967732</v>
      </c>
      <c r="E416">
        <f t="shared" si="32"/>
        <v>0.118487542942785</v>
      </c>
      <c r="F416">
        <f t="shared" si="34"/>
        <v>-1.00707383653625</v>
      </c>
      <c r="G416">
        <f t="shared" si="33"/>
        <v>-0.995878841565018</v>
      </c>
    </row>
    <row r="417" spans="1:7">
      <c r="A417" s="1">
        <v>39150</v>
      </c>
      <c r="B417">
        <v>1.3155</v>
      </c>
      <c r="C417">
        <f t="shared" si="30"/>
        <v>0.0228076178431907</v>
      </c>
      <c r="D417">
        <f t="shared" si="31"/>
        <v>0.105561585089296</v>
      </c>
      <c r="E417">
        <f t="shared" si="32"/>
        <v>0.113214751775387</v>
      </c>
      <c r="F417">
        <f t="shared" si="34"/>
        <v>-1.1217664707422</v>
      </c>
      <c r="G417">
        <f t="shared" si="33"/>
        <v>-1.08693705454812</v>
      </c>
    </row>
    <row r="418" spans="1:7">
      <c r="A418" s="1">
        <v>39153</v>
      </c>
      <c r="B418">
        <v>1.3156</v>
      </c>
      <c r="C418">
        <f t="shared" si="30"/>
        <v>0.00760138345545694</v>
      </c>
      <c r="D418">
        <f t="shared" si="31"/>
        <v>0.0950574453235343</v>
      </c>
      <c r="E418">
        <f t="shared" si="32"/>
        <v>0.107447876040447</v>
      </c>
      <c r="F418">
        <f t="shared" si="34"/>
        <v>-1.17633301435199</v>
      </c>
      <c r="G418">
        <f t="shared" si="33"/>
        <v>-1.11510583217171</v>
      </c>
    </row>
    <row r="419" spans="1:7">
      <c r="A419" s="1">
        <v>39154</v>
      </c>
      <c r="B419">
        <v>1.3218</v>
      </c>
      <c r="C419">
        <f t="shared" si="30"/>
        <v>0.470160872145054</v>
      </c>
      <c r="D419">
        <f t="shared" si="31"/>
        <v>0.0855574788942245</v>
      </c>
      <c r="E419">
        <f t="shared" si="32"/>
        <v>0.102003892529542</v>
      </c>
      <c r="F419">
        <f t="shared" si="34"/>
        <v>0.0625454577575772</v>
      </c>
      <c r="G419">
        <f t="shared" si="33"/>
        <v>-0.0578289646933789</v>
      </c>
    </row>
    <row r="420" spans="1:7">
      <c r="A420" s="1">
        <v>39155</v>
      </c>
      <c r="B420">
        <v>1.3183</v>
      </c>
      <c r="C420">
        <f t="shared" si="30"/>
        <v>-0.265141627242828</v>
      </c>
      <c r="D420">
        <f t="shared" si="31"/>
        <v>0.0991068555744219</v>
      </c>
      <c r="E420">
        <f t="shared" si="32"/>
        <v>0.10793622126258</v>
      </c>
      <c r="F420">
        <f t="shared" si="34"/>
        <v>-0.80111021989767</v>
      </c>
      <c r="G420">
        <f t="shared" si="33"/>
        <v>-0.787451726236477</v>
      </c>
    </row>
    <row r="421" spans="1:7">
      <c r="A421" s="1">
        <v>39156</v>
      </c>
      <c r="B421">
        <v>1.3226</v>
      </c>
      <c r="C421">
        <f t="shared" si="30"/>
        <v>0.325646847663767</v>
      </c>
      <c r="D421">
        <f t="shared" si="31"/>
        <v>0.0962261782666772</v>
      </c>
      <c r="E421">
        <f t="shared" si="32"/>
        <v>0.105975052111674</v>
      </c>
      <c r="F421">
        <f t="shared" si="34"/>
        <v>-0.61950290664375</v>
      </c>
      <c r="G421">
        <f t="shared" si="33"/>
        <v>-0.621941662584327</v>
      </c>
    </row>
    <row r="422" spans="1:7">
      <c r="A422" s="1">
        <v>39157</v>
      </c>
      <c r="B422">
        <v>1.3325</v>
      </c>
      <c r="C422">
        <f t="shared" si="30"/>
        <v>0.745738079943767</v>
      </c>
      <c r="D422">
        <f t="shared" si="31"/>
        <v>0.0972081473793443</v>
      </c>
      <c r="E422">
        <f t="shared" si="32"/>
        <v>0.105918842454641</v>
      </c>
      <c r="F422">
        <f t="shared" si="34"/>
        <v>1.69503662555649</v>
      </c>
      <c r="G422">
        <f t="shared" si="33"/>
        <v>1.50270139678914</v>
      </c>
    </row>
    <row r="423" spans="1:7">
      <c r="A423" s="1">
        <v>39160</v>
      </c>
      <c r="B423">
        <v>1.3303</v>
      </c>
      <c r="C423">
        <f t="shared" si="30"/>
        <v>-0.165239635013955</v>
      </c>
      <c r="D423">
        <f t="shared" si="31"/>
        <v>0.143099861029232</v>
      </c>
      <c r="E423">
        <f t="shared" si="32"/>
        <v>0.128369976101273</v>
      </c>
      <c r="F423">
        <f t="shared" si="34"/>
        <v>-0.876703893606807</v>
      </c>
      <c r="G423">
        <f t="shared" si="33"/>
        <v>-0.920069984297072</v>
      </c>
    </row>
    <row r="424" spans="1:7">
      <c r="A424" s="1">
        <v>39161</v>
      </c>
      <c r="B424">
        <v>1.3296</v>
      </c>
      <c r="C424">
        <f t="shared" si="30"/>
        <v>-0.0526335588676396</v>
      </c>
      <c r="D424">
        <f t="shared" si="31"/>
        <v>0.131520288624263</v>
      </c>
      <c r="E424">
        <f t="shared" si="32"/>
        <v>0.123032984384174</v>
      </c>
      <c r="F424">
        <f t="shared" si="34"/>
        <v>-1.00376527365636</v>
      </c>
      <c r="G424">
        <f t="shared" si="33"/>
        <v>-1.03639306837669</v>
      </c>
    </row>
    <row r="425" spans="1:7">
      <c r="A425" s="1">
        <v>39162</v>
      </c>
      <c r="B425">
        <v>1.3293</v>
      </c>
      <c r="C425">
        <f t="shared" si="30"/>
        <v>-0.0225657227630249</v>
      </c>
      <c r="D425">
        <f t="shared" si="31"/>
        <v>0.118645288913744</v>
      </c>
      <c r="E425">
        <f t="shared" si="32"/>
        <v>0.116789519897077</v>
      </c>
      <c r="F425">
        <f t="shared" si="34"/>
        <v>-1.06366255920287</v>
      </c>
      <c r="G425">
        <f t="shared" si="33"/>
        <v>-1.071510928931</v>
      </c>
    </row>
    <row r="426" spans="1:7">
      <c r="A426" s="1">
        <v>39163</v>
      </c>
      <c r="B426">
        <v>1.3351</v>
      </c>
      <c r="C426">
        <f t="shared" si="30"/>
        <v>0.435370752249578</v>
      </c>
      <c r="D426">
        <f t="shared" si="31"/>
        <v>0.106831681206751</v>
      </c>
      <c r="E426">
        <f t="shared" si="32"/>
        <v>0.110807609295443</v>
      </c>
      <c r="F426">
        <f t="shared" si="34"/>
        <v>-0.231117975979926</v>
      </c>
      <c r="G426">
        <f t="shared" si="33"/>
        <v>-0.244679033587529</v>
      </c>
    </row>
    <row r="427" spans="1:7">
      <c r="A427" s="1">
        <v>39164</v>
      </c>
      <c r="B427">
        <v>1.3327</v>
      </c>
      <c r="C427">
        <f t="shared" si="30"/>
        <v>-0.179923581036799</v>
      </c>
      <c r="D427">
        <f t="shared" si="31"/>
        <v>0.115103282277513</v>
      </c>
      <c r="E427">
        <f t="shared" si="32"/>
        <v>0.114636537333435</v>
      </c>
      <c r="F427">
        <f t="shared" si="34"/>
        <v>-0.940339040220058</v>
      </c>
      <c r="G427">
        <f t="shared" si="33"/>
        <v>-0.941798114944946</v>
      </c>
    </row>
    <row r="428" spans="1:7">
      <c r="A428" s="1">
        <v>39167</v>
      </c>
      <c r="B428">
        <v>1.3265</v>
      </c>
      <c r="C428">
        <f t="shared" si="30"/>
        <v>-0.466306500788697</v>
      </c>
      <c r="D428">
        <f t="shared" si="31"/>
        <v>0.106830203551072</v>
      </c>
      <c r="E428">
        <f t="shared" si="32"/>
        <v>0.110376969844084</v>
      </c>
      <c r="F428">
        <f t="shared" si="34"/>
        <v>-0.100559370158755</v>
      </c>
      <c r="G428">
        <f t="shared" si="33"/>
        <v>-0.116930863586752</v>
      </c>
    </row>
    <row r="429" spans="1:7">
      <c r="A429" s="1">
        <v>39168</v>
      </c>
      <c r="B429">
        <v>1.3347</v>
      </c>
      <c r="C429">
        <f t="shared" si="30"/>
        <v>0.616265290231144</v>
      </c>
      <c r="D429">
        <f t="shared" si="31"/>
        <v>0.117891358463745</v>
      </c>
      <c r="E429">
        <f t="shared" si="32"/>
        <v>0.115626439287329</v>
      </c>
      <c r="F429">
        <f t="shared" si="34"/>
        <v>0.541736712113419</v>
      </c>
      <c r="G429">
        <f t="shared" si="33"/>
        <v>0.563588706143601</v>
      </c>
    </row>
    <row r="430" spans="1:7">
      <c r="A430" s="1">
        <v>39169</v>
      </c>
      <c r="B430">
        <v>1.3348</v>
      </c>
      <c r="C430">
        <f t="shared" si="30"/>
        <v>0.00749203971132286</v>
      </c>
      <c r="D430">
        <f t="shared" si="31"/>
        <v>0.144080513411738</v>
      </c>
      <c r="E430">
        <f t="shared" si="32"/>
        <v>0.128677998327273</v>
      </c>
      <c r="F430">
        <f t="shared" si="34"/>
        <v>-0.968496718159644</v>
      </c>
      <c r="G430">
        <f t="shared" si="33"/>
        <v>-1.02500296096694</v>
      </c>
    </row>
    <row r="431" spans="1:7">
      <c r="A431" s="1">
        <v>39170</v>
      </c>
      <c r="B431">
        <v>1.3352</v>
      </c>
      <c r="C431">
        <f t="shared" si="30"/>
        <v>0.0299625470406273</v>
      </c>
      <c r="D431">
        <f t="shared" si="31"/>
        <v>0.129678075136468</v>
      </c>
      <c r="E431">
        <f t="shared" si="32"/>
        <v>0.121960124960589</v>
      </c>
      <c r="F431">
        <f t="shared" si="34"/>
        <v>-1.01788864975535</v>
      </c>
      <c r="G431">
        <f t="shared" si="33"/>
        <v>-1.04835004257566</v>
      </c>
    </row>
    <row r="432" spans="1:7">
      <c r="A432" s="1">
        <v>39171</v>
      </c>
      <c r="B432">
        <v>1.3318</v>
      </c>
      <c r="C432">
        <f t="shared" si="30"/>
        <v>-0.254968267110323</v>
      </c>
      <c r="D432">
        <f t="shared" si="31"/>
        <v>0.116800043045337</v>
      </c>
      <c r="E432">
        <f t="shared" si="32"/>
        <v>0.115687405174211</v>
      </c>
      <c r="F432">
        <f t="shared" si="34"/>
        <v>-0.795354852922839</v>
      </c>
      <c r="G432">
        <f t="shared" si="33"/>
        <v>-0.797464188437207</v>
      </c>
    </row>
    <row r="433" spans="1:7">
      <c r="A433" s="1">
        <v>39174</v>
      </c>
      <c r="B433">
        <v>1.3366</v>
      </c>
      <c r="C433">
        <f t="shared" si="30"/>
        <v>0.359766540044773</v>
      </c>
      <c r="D433">
        <f t="shared" si="31"/>
        <v>0.111620920464127</v>
      </c>
      <c r="E433">
        <f t="shared" si="32"/>
        <v>0.112996601725421</v>
      </c>
      <c r="F433">
        <f t="shared" si="34"/>
        <v>-0.516539770636108</v>
      </c>
      <c r="G433">
        <f t="shared" si="33"/>
        <v>-0.517473740914092</v>
      </c>
    </row>
    <row r="434" spans="1:7">
      <c r="A434" s="1">
        <v>39175</v>
      </c>
      <c r="B434">
        <v>1.3358</v>
      </c>
      <c r="C434">
        <f t="shared" si="30"/>
        <v>-0.0598712785434068</v>
      </c>
      <c r="D434">
        <f t="shared" si="31"/>
        <v>0.113402024751293</v>
      </c>
      <c r="E434">
        <f t="shared" si="32"/>
        <v>0.113688403788685</v>
      </c>
      <c r="F434">
        <f t="shared" si="34"/>
        <v>-1.07260331630251</v>
      </c>
      <c r="G434">
        <f t="shared" si="33"/>
        <v>-1.07138204809402</v>
      </c>
    </row>
    <row r="435" spans="1:7">
      <c r="A435" s="1">
        <v>39176</v>
      </c>
      <c r="B435">
        <v>1.3352</v>
      </c>
      <c r="C435">
        <f t="shared" si="30"/>
        <v>-0.044926994391034</v>
      </c>
      <c r="D435">
        <f t="shared" si="31"/>
        <v>0.102420279275606</v>
      </c>
      <c r="E435">
        <f t="shared" si="32"/>
        <v>0.108046328061085</v>
      </c>
      <c r="F435">
        <f t="shared" si="34"/>
        <v>-1.12948158571987</v>
      </c>
      <c r="G435">
        <f t="shared" si="33"/>
        <v>-1.10325699125886</v>
      </c>
    </row>
    <row r="436" spans="1:7">
      <c r="A436" s="1">
        <v>39177</v>
      </c>
      <c r="B436">
        <v>1.3373</v>
      </c>
      <c r="C436">
        <f t="shared" si="30"/>
        <v>0.15715625311256</v>
      </c>
      <c r="D436">
        <f t="shared" si="31"/>
        <v>0.0923800948305468</v>
      </c>
      <c r="E436">
        <f t="shared" si="32"/>
        <v>0.10266447011867</v>
      </c>
      <c r="F436">
        <f t="shared" si="34"/>
        <v>-1.05724541486571</v>
      </c>
      <c r="G436">
        <f t="shared" si="33"/>
        <v>-1.01785912084566</v>
      </c>
    </row>
    <row r="437" spans="1:7">
      <c r="A437" s="1">
        <v>39182</v>
      </c>
      <c r="B437">
        <v>1.3426</v>
      </c>
      <c r="C437">
        <f t="shared" si="30"/>
        <v>0.395537662590029</v>
      </c>
      <c r="D437">
        <f t="shared" si="31"/>
        <v>0.08561189413673</v>
      </c>
      <c r="E437">
        <f t="shared" si="32"/>
        <v>0.0987395063061691</v>
      </c>
      <c r="F437">
        <f t="shared" si="34"/>
        <v>-0.315248782415799</v>
      </c>
      <c r="G437">
        <f t="shared" si="33"/>
        <v>-0.365398771797264</v>
      </c>
    </row>
    <row r="438" spans="1:7">
      <c r="A438" s="1">
        <v>39183</v>
      </c>
      <c r="B438">
        <v>1.3418</v>
      </c>
      <c r="C438">
        <f t="shared" si="30"/>
        <v>-0.0596036375863412</v>
      </c>
      <c r="D438">
        <f t="shared" si="31"/>
        <v>0.0926957089757754</v>
      </c>
      <c r="E438">
        <f t="shared" si="32"/>
        <v>0.101637638054158</v>
      </c>
      <c r="F438">
        <f t="shared" si="34"/>
        <v>-1.17005388354551</v>
      </c>
      <c r="G438">
        <f t="shared" si="33"/>
        <v>-1.12569391761176</v>
      </c>
    </row>
    <row r="439" spans="1:7">
      <c r="A439" s="1">
        <v>39184</v>
      </c>
      <c r="B439">
        <v>1.3467</v>
      </c>
      <c r="C439">
        <f t="shared" si="30"/>
        <v>0.364515932720828</v>
      </c>
      <c r="D439">
        <f t="shared" si="31"/>
        <v>0.0837813974395503</v>
      </c>
      <c r="E439">
        <f t="shared" si="32"/>
        <v>0.0967170094515848</v>
      </c>
      <c r="F439">
        <f t="shared" si="34"/>
        <v>-0.446804554382056</v>
      </c>
      <c r="G439">
        <f t="shared" si="33"/>
        <v>-0.48107246245906</v>
      </c>
    </row>
    <row r="440" spans="1:7">
      <c r="A440" s="1">
        <v>39185</v>
      </c>
      <c r="B440">
        <v>1.3532</v>
      </c>
      <c r="C440">
        <f t="shared" si="30"/>
        <v>0.481500245055733</v>
      </c>
      <c r="D440">
        <f t="shared" si="31"/>
        <v>0.0886904442163288</v>
      </c>
      <c r="E440">
        <f t="shared" si="32"/>
        <v>0.0985575821448565</v>
      </c>
      <c r="F440">
        <f t="shared" si="34"/>
        <v>0.0957303723547145</v>
      </c>
      <c r="G440">
        <f t="shared" si="33"/>
        <v>0.0176206733031032</v>
      </c>
    </row>
    <row r="441" spans="1:7">
      <c r="A441" s="1">
        <v>39188</v>
      </c>
      <c r="B441">
        <v>1.355</v>
      </c>
      <c r="C441">
        <f t="shared" si="30"/>
        <v>0.132929640724793</v>
      </c>
      <c r="D441">
        <f t="shared" si="31"/>
        <v>0.103005648393569</v>
      </c>
      <c r="E441">
        <f t="shared" si="32"/>
        <v>0.105236251515602</v>
      </c>
      <c r="F441">
        <f t="shared" si="34"/>
        <v>-1.05071232664771</v>
      </c>
      <c r="G441">
        <f t="shared" si="33"/>
        <v>-1.04181838649725</v>
      </c>
    </row>
    <row r="442" spans="1:7">
      <c r="A442" s="1">
        <v>39189</v>
      </c>
      <c r="B442">
        <v>1.3549</v>
      </c>
      <c r="C442">
        <f t="shared" si="30"/>
        <v>-0.00738034614157937</v>
      </c>
      <c r="D442">
        <f t="shared" si="31"/>
        <v>0.0944721124925344</v>
      </c>
      <c r="E442">
        <f t="shared" si="32"/>
        <v>0.100805590893827</v>
      </c>
      <c r="F442">
        <f t="shared" si="34"/>
        <v>-1.17943701343154</v>
      </c>
      <c r="G442">
        <f t="shared" si="33"/>
        <v>-1.14701055876094</v>
      </c>
    </row>
    <row r="443" spans="1:7">
      <c r="A443" s="1">
        <v>39190</v>
      </c>
      <c r="B443">
        <v>1.3577</v>
      </c>
      <c r="C443">
        <f t="shared" si="30"/>
        <v>0.206444075385003</v>
      </c>
      <c r="D443">
        <f t="shared" si="31"/>
        <v>0.0850303481941979</v>
      </c>
      <c r="E443">
        <f t="shared" si="32"/>
        <v>0.0957599789156555</v>
      </c>
      <c r="F443">
        <f t="shared" si="34"/>
        <v>-0.981762082834474</v>
      </c>
      <c r="G443">
        <f t="shared" si="33"/>
        <v>-0.950424070013512</v>
      </c>
    </row>
    <row r="444" spans="1:7">
      <c r="A444" s="1">
        <v>39191</v>
      </c>
      <c r="B444">
        <v>1.3601</v>
      </c>
      <c r="C444">
        <f t="shared" si="30"/>
        <v>0.176613483247236</v>
      </c>
      <c r="D444">
        <f t="shared" si="31"/>
        <v>0.080789229000935</v>
      </c>
      <c r="E444">
        <f t="shared" si="32"/>
        <v>0.0931453379937946</v>
      </c>
      <c r="F444">
        <f t="shared" si="34"/>
        <v>-1.06490828186836</v>
      </c>
      <c r="G444">
        <f t="shared" si="33"/>
        <v>-1.01935812668889</v>
      </c>
    </row>
    <row r="445" spans="1:7">
      <c r="A445" s="1">
        <v>39192</v>
      </c>
      <c r="B445">
        <v>1.3606</v>
      </c>
      <c r="C445">
        <f t="shared" si="30"/>
        <v>0.0367552472252568</v>
      </c>
      <c r="D445">
        <f t="shared" si="31"/>
        <v>0.0758295383473136</v>
      </c>
      <c r="E445">
        <f t="shared" si="32"/>
        <v>0.090116233837403</v>
      </c>
      <c r="F445">
        <f t="shared" si="34"/>
        <v>-1.28072589060191</v>
      </c>
      <c r="G445">
        <f t="shared" si="33"/>
        <v>-1.19583189009511</v>
      </c>
    </row>
    <row r="446" spans="1:7">
      <c r="A446" s="1">
        <v>39195</v>
      </c>
      <c r="B446">
        <v>1.3557</v>
      </c>
      <c r="C446">
        <f t="shared" si="30"/>
        <v>-0.360785282561678</v>
      </c>
      <c r="D446">
        <f t="shared" si="31"/>
        <v>0.0683816793324412</v>
      </c>
      <c r="E446">
        <f t="shared" si="32"/>
        <v>0.0857768072170883</v>
      </c>
      <c r="F446">
        <f t="shared" si="34"/>
        <v>-0.389564247773393</v>
      </c>
      <c r="G446">
        <f t="shared" si="33"/>
        <v>-0.469254970940847</v>
      </c>
    </row>
    <row r="447" spans="1:7">
      <c r="A447" s="1">
        <v>39196</v>
      </c>
      <c r="B447">
        <v>1.3582</v>
      </c>
      <c r="C447">
        <f t="shared" si="30"/>
        <v>0.184236759434745</v>
      </c>
      <c r="D447">
        <f t="shared" si="31"/>
        <v>0.0745601134105081</v>
      </c>
      <c r="E447">
        <f t="shared" si="32"/>
        <v>0.0881384997897185</v>
      </c>
      <c r="F447">
        <f t="shared" si="34"/>
        <v>-1.07045185991015</v>
      </c>
      <c r="G447">
        <f t="shared" si="33"/>
        <v>-1.02186697926014</v>
      </c>
    </row>
    <row r="448" spans="1:7">
      <c r="A448" s="1">
        <v>39197</v>
      </c>
      <c r="B448">
        <v>1.3649</v>
      </c>
      <c r="C448">
        <f t="shared" si="30"/>
        <v>0.492087218245871</v>
      </c>
      <c r="D448">
        <f t="shared" si="31"/>
        <v>0.0704984204221589</v>
      </c>
      <c r="E448">
        <f t="shared" si="32"/>
        <v>0.0855473489786862</v>
      </c>
      <c r="F448">
        <f t="shared" si="34"/>
        <v>0.391330675283106</v>
      </c>
      <c r="G448">
        <f t="shared" si="33"/>
        <v>0.185954469469036</v>
      </c>
    </row>
    <row r="449" spans="1:7">
      <c r="A449" s="1">
        <v>39198</v>
      </c>
      <c r="B449">
        <v>1.3596</v>
      </c>
      <c r="C449">
        <f t="shared" si="30"/>
        <v>-0.389062704018888</v>
      </c>
      <c r="D449">
        <f t="shared" si="31"/>
        <v>0.0876635614160389</v>
      </c>
      <c r="E449">
        <f t="shared" si="32"/>
        <v>0.093521999558013</v>
      </c>
      <c r="F449">
        <f t="shared" si="34"/>
        <v>-0.353768112439699</v>
      </c>
      <c r="G449">
        <f t="shared" si="33"/>
        <v>-0.375505598874642</v>
      </c>
    </row>
    <row r="450" spans="1:7">
      <c r="A450" s="1">
        <v>39199</v>
      </c>
      <c r="B450">
        <v>1.3643</v>
      </c>
      <c r="C450">
        <f t="shared" si="30"/>
        <v>0.345093774686753</v>
      </c>
      <c r="D450">
        <f t="shared" si="31"/>
        <v>0.094034184040284</v>
      </c>
      <c r="E450">
        <f t="shared" si="32"/>
        <v>0.0964791689674566</v>
      </c>
      <c r="F450">
        <f t="shared" si="34"/>
        <v>-0.548822808292919</v>
      </c>
      <c r="G450">
        <f t="shared" si="33"/>
        <v>-0.552035705412195</v>
      </c>
    </row>
    <row r="451" spans="1:7">
      <c r="A451" s="1">
        <v>39202</v>
      </c>
      <c r="B451">
        <v>1.3605</v>
      </c>
      <c r="C451">
        <f t="shared" si="30"/>
        <v>-0.278919734552747</v>
      </c>
      <c r="D451">
        <f t="shared" si="31"/>
        <v>0.0965397369690107</v>
      </c>
      <c r="E451">
        <f t="shared" si="32"/>
        <v>0.0976449044957868</v>
      </c>
      <c r="F451">
        <f t="shared" si="34"/>
        <v>-0.765976989144656</v>
      </c>
      <c r="G451">
        <f t="shared" si="33"/>
        <v>-0.764845983355712</v>
      </c>
    </row>
    <row r="452" spans="1:7">
      <c r="A452" s="1">
        <v>39204</v>
      </c>
      <c r="B452">
        <v>1.3588</v>
      </c>
      <c r="C452">
        <f t="shared" ref="C452:C515" si="35">100*LN(B452/B451)</f>
        <v>-0.125032193687218</v>
      </c>
      <c r="D452">
        <f t="shared" si="31"/>
        <v>0.0946653851044072</v>
      </c>
      <c r="E452">
        <f t="shared" si="32"/>
        <v>0.0966760211421884</v>
      </c>
      <c r="F452">
        <f t="shared" si="34"/>
        <v>-1.09613339260755</v>
      </c>
      <c r="G452">
        <f t="shared" si="33"/>
        <v>-1.08734216297003</v>
      </c>
    </row>
    <row r="453" spans="1:7">
      <c r="A453" s="1">
        <v>39205</v>
      </c>
      <c r="B453">
        <v>1.3613</v>
      </c>
      <c r="C453">
        <f t="shared" si="35"/>
        <v>0.183816823199858</v>
      </c>
      <c r="D453">
        <f t="shared" ref="D453:D516" si="36">$J$1*D452+(1-$J$1)*C452^2</f>
        <v>0.0867621515397903</v>
      </c>
      <c r="E453">
        <f t="shared" ref="E453:E516" si="37">$K$1+$K$2*C452^2+$K$3*E452</f>
        <v>0.092657112346569</v>
      </c>
      <c r="F453">
        <f t="shared" si="34"/>
        <v>-1.02757255752237</v>
      </c>
      <c r="G453">
        <f t="shared" ref="G453:G516" si="38">0.5*(LN(E453)+C453^2/E453)</f>
        <v>-1.00709326050833</v>
      </c>
    </row>
    <row r="454" spans="1:7">
      <c r="A454" s="1">
        <v>39206</v>
      </c>
      <c r="B454">
        <v>1.3561</v>
      </c>
      <c r="C454">
        <f t="shared" si="35"/>
        <v>-0.382719242452774</v>
      </c>
      <c r="D454">
        <f t="shared" si="36"/>
        <v>0.08146479883494</v>
      </c>
      <c r="E454">
        <f t="shared" si="37"/>
        <v>0.0897871168303392</v>
      </c>
      <c r="F454">
        <f t="shared" si="34"/>
        <v>-0.354790229961324</v>
      </c>
      <c r="G454">
        <f t="shared" si="38"/>
        <v>-0.389482972657417</v>
      </c>
    </row>
    <row r="455" spans="1:7">
      <c r="A455" s="1">
        <v>39209</v>
      </c>
      <c r="B455">
        <v>1.3615</v>
      </c>
      <c r="C455">
        <f t="shared" si="35"/>
        <v>0.397410001991466</v>
      </c>
      <c r="D455">
        <f t="shared" si="36"/>
        <v>0.0879657208058085</v>
      </c>
      <c r="E455">
        <f t="shared" si="37"/>
        <v>0.0927235907477001</v>
      </c>
      <c r="F455">
        <f t="shared" ref="F455:F518" si="39">0.5*(LN(D455)+C455^2/D455)</f>
        <v>-0.317698044259737</v>
      </c>
      <c r="G455">
        <f t="shared" si="38"/>
        <v>-0.337423631573641</v>
      </c>
    </row>
    <row r="456" spans="1:7">
      <c r="A456" s="1">
        <v>39210</v>
      </c>
      <c r="B456">
        <v>1.3558</v>
      </c>
      <c r="C456">
        <f t="shared" si="35"/>
        <v>-0.419534711694903</v>
      </c>
      <c r="D456">
        <f t="shared" si="36"/>
        <v>0.0949626196935134</v>
      </c>
      <c r="E456">
        <f t="shared" si="37"/>
        <v>0.0960569107869809</v>
      </c>
      <c r="F456">
        <f t="shared" si="39"/>
        <v>-0.250406196109815</v>
      </c>
      <c r="G456">
        <f t="shared" si="38"/>
        <v>-0.255234855939513</v>
      </c>
    </row>
    <row r="457" spans="1:7">
      <c r="A457" s="1">
        <v>39211</v>
      </c>
      <c r="B457">
        <v>1.3535</v>
      </c>
      <c r="C457">
        <f t="shared" si="35"/>
        <v>-0.169785594250929</v>
      </c>
      <c r="D457">
        <f t="shared" si="36"/>
        <v>0.103067295155855</v>
      </c>
      <c r="E457">
        <f t="shared" si="37"/>
        <v>0.100093964855608</v>
      </c>
      <c r="F457">
        <f t="shared" si="39"/>
        <v>-0.99634033349545</v>
      </c>
      <c r="G457">
        <f t="shared" si="38"/>
        <v>-1.00682251253634</v>
      </c>
    </row>
    <row r="458" spans="1:7">
      <c r="A458" s="1">
        <v>39212</v>
      </c>
      <c r="B458">
        <v>1.3527</v>
      </c>
      <c r="C458">
        <f t="shared" si="35"/>
        <v>-0.0591234959207611</v>
      </c>
      <c r="D458">
        <f t="shared" si="36"/>
        <v>0.0956432804417832</v>
      </c>
      <c r="E458">
        <f t="shared" si="37"/>
        <v>0.0965296843650289</v>
      </c>
      <c r="F458">
        <f t="shared" si="39"/>
        <v>-1.1552908288545</v>
      </c>
      <c r="G458">
        <f t="shared" si="38"/>
        <v>-1.15084606991361</v>
      </c>
    </row>
    <row r="459" spans="1:7">
      <c r="A459" s="1">
        <v>39213</v>
      </c>
      <c r="B459">
        <v>1.3486</v>
      </c>
      <c r="C459">
        <f t="shared" si="35"/>
        <v>-0.303557779466665</v>
      </c>
      <c r="D459">
        <f t="shared" si="36"/>
        <v>0.0864285111745941</v>
      </c>
      <c r="E459">
        <f t="shared" si="37"/>
        <v>0.0919126826916218</v>
      </c>
      <c r="F459">
        <f t="shared" si="39"/>
        <v>-0.691134760845257</v>
      </c>
      <c r="G459">
        <f t="shared" si="38"/>
        <v>-0.692181682905012</v>
      </c>
    </row>
    <row r="460" spans="1:7">
      <c r="A460" s="1">
        <v>39216</v>
      </c>
      <c r="B460">
        <v>1.3549</v>
      </c>
      <c r="C460">
        <f t="shared" si="35"/>
        <v>0.466063355190395</v>
      </c>
      <c r="D460">
        <f t="shared" si="36"/>
        <v>0.087000392604608</v>
      </c>
      <c r="E460">
        <f t="shared" si="37"/>
        <v>0.0920052880038611</v>
      </c>
      <c r="F460">
        <f t="shared" si="39"/>
        <v>0.0274354050881895</v>
      </c>
      <c r="G460">
        <f t="shared" si="38"/>
        <v>-0.0125058810300196</v>
      </c>
    </row>
    <row r="461" spans="1:7">
      <c r="A461" s="1">
        <v>39217</v>
      </c>
      <c r="B461">
        <v>1.3538</v>
      </c>
      <c r="C461">
        <f t="shared" si="35"/>
        <v>-0.0812197777878248</v>
      </c>
      <c r="D461">
        <f t="shared" si="36"/>
        <v>0.10002185844928</v>
      </c>
      <c r="E461">
        <f t="shared" si="37"/>
        <v>0.0983457232761958</v>
      </c>
      <c r="F461">
        <f t="shared" si="39"/>
        <v>-1.11820721272808</v>
      </c>
      <c r="G461">
        <f t="shared" si="38"/>
        <v>-1.12609503584186</v>
      </c>
    </row>
    <row r="462" spans="1:7">
      <c r="A462" s="1">
        <v>39218</v>
      </c>
      <c r="B462">
        <v>1.3574</v>
      </c>
      <c r="C462">
        <f t="shared" si="35"/>
        <v>0.265565219515083</v>
      </c>
      <c r="D462">
        <f t="shared" si="36"/>
        <v>0.0906793378347424</v>
      </c>
      <c r="E462">
        <f t="shared" si="37"/>
        <v>0.0937748124948193</v>
      </c>
      <c r="F462">
        <f t="shared" si="39"/>
        <v>-0.811343221817133</v>
      </c>
      <c r="G462">
        <f t="shared" si="38"/>
        <v>-0.807396290349682</v>
      </c>
    </row>
    <row r="463" spans="1:7">
      <c r="A463" s="1">
        <v>39219</v>
      </c>
      <c r="B463">
        <v>1.3516</v>
      </c>
      <c r="C463">
        <f t="shared" si="35"/>
        <v>-0.428202942952315</v>
      </c>
      <c r="D463">
        <f t="shared" si="36"/>
        <v>0.0886638926328775</v>
      </c>
      <c r="E463">
        <f t="shared" si="37"/>
        <v>0.0926745680359348</v>
      </c>
      <c r="F463">
        <f t="shared" si="39"/>
        <v>-0.17744658993975</v>
      </c>
      <c r="G463">
        <f t="shared" si="38"/>
        <v>-0.200074512428241</v>
      </c>
    </row>
    <row r="464" spans="1:7">
      <c r="A464" s="1">
        <v>39220</v>
      </c>
      <c r="B464">
        <v>1.3477</v>
      </c>
      <c r="C464">
        <f t="shared" si="35"/>
        <v>-0.288964006502135</v>
      </c>
      <c r="D464">
        <f t="shared" si="36"/>
        <v>0.0981332794048922</v>
      </c>
      <c r="E464">
        <f t="shared" si="37"/>
        <v>0.0972819819714299</v>
      </c>
      <c r="F464">
        <f t="shared" si="39"/>
        <v>-0.73527155127287</v>
      </c>
      <c r="G464">
        <f t="shared" si="38"/>
        <v>-0.735904954763607</v>
      </c>
    </row>
    <row r="465" spans="1:7">
      <c r="A465" s="1">
        <v>39223</v>
      </c>
      <c r="B465">
        <v>1.3444</v>
      </c>
      <c r="C465">
        <f t="shared" si="35"/>
        <v>-0.245161892416286</v>
      </c>
      <c r="D465">
        <f t="shared" si="36"/>
        <v>0.0966699711697795</v>
      </c>
      <c r="E465">
        <f t="shared" si="37"/>
        <v>0.0966200729058324</v>
      </c>
      <c r="F465">
        <f t="shared" si="39"/>
        <v>-0.857352270411603</v>
      </c>
      <c r="G465">
        <f t="shared" si="38"/>
        <v>-0.857449875605437</v>
      </c>
    </row>
    <row r="466" spans="1:7">
      <c r="A466" s="1">
        <v>39224</v>
      </c>
      <c r="B466">
        <v>1.3454</v>
      </c>
      <c r="C466">
        <f t="shared" si="35"/>
        <v>0.0743549740554716</v>
      </c>
      <c r="D466">
        <f t="shared" si="36"/>
        <v>0.093013409402115</v>
      </c>
      <c r="E466">
        <f t="shared" si="37"/>
        <v>0.0948280862061392</v>
      </c>
      <c r="F466">
        <f t="shared" si="39"/>
        <v>-1.15778609960628</v>
      </c>
      <c r="G466">
        <f t="shared" si="38"/>
        <v>-1.14869384871768</v>
      </c>
    </row>
    <row r="467" spans="1:7">
      <c r="A467" s="1">
        <v>39225</v>
      </c>
      <c r="B467">
        <v>1.349</v>
      </c>
      <c r="C467">
        <f t="shared" si="35"/>
        <v>0.267221061625058</v>
      </c>
      <c r="D467">
        <f t="shared" si="36"/>
        <v>0.0842649346785825</v>
      </c>
      <c r="E467">
        <f t="shared" si="37"/>
        <v>0.0904148341421103</v>
      </c>
      <c r="F467">
        <f t="shared" si="39"/>
        <v>-0.813188854525049</v>
      </c>
      <c r="G467">
        <f t="shared" si="38"/>
        <v>-0.806787512913152</v>
      </c>
    </row>
    <row r="468" spans="1:7">
      <c r="A468" s="1">
        <v>39226</v>
      </c>
      <c r="B468">
        <v>1.3448</v>
      </c>
      <c r="C468">
        <f t="shared" si="35"/>
        <v>-0.311827411334998</v>
      </c>
      <c r="D468">
        <f t="shared" si="36"/>
        <v>0.0829791507883266</v>
      </c>
      <c r="E468">
        <f t="shared" si="37"/>
        <v>0.0895602988823848</v>
      </c>
      <c r="F468">
        <f t="shared" si="39"/>
        <v>-0.65867472066198</v>
      </c>
      <c r="G468">
        <f t="shared" si="38"/>
        <v>-0.663567566745649</v>
      </c>
    </row>
    <row r="469" spans="1:7">
      <c r="A469" s="1">
        <v>39227</v>
      </c>
      <c r="B469">
        <v>1.3441</v>
      </c>
      <c r="C469">
        <f t="shared" si="35"/>
        <v>-0.0520659017303201</v>
      </c>
      <c r="D469">
        <f t="shared" si="36"/>
        <v>0.0844048691554825</v>
      </c>
      <c r="E469">
        <f t="shared" si="37"/>
        <v>0.090048497672436</v>
      </c>
      <c r="F469">
        <f t="shared" si="39"/>
        <v>-1.22000643422445</v>
      </c>
      <c r="G469">
        <f t="shared" si="38"/>
        <v>-1.1886512335546</v>
      </c>
    </row>
    <row r="470" spans="1:7">
      <c r="A470" s="1">
        <v>39230</v>
      </c>
      <c r="B470">
        <v>1.3453</v>
      </c>
      <c r="C470">
        <f t="shared" si="35"/>
        <v>0.0892392414394537</v>
      </c>
      <c r="D470">
        <f t="shared" si="36"/>
        <v>0.0762354680522334</v>
      </c>
      <c r="E470">
        <f t="shared" si="37"/>
        <v>0.0857811307182394</v>
      </c>
      <c r="F470">
        <f t="shared" si="39"/>
        <v>-1.2347336733638</v>
      </c>
      <c r="G470">
        <f t="shared" si="38"/>
        <v>-1.18155972937513</v>
      </c>
    </row>
    <row r="471" spans="1:7">
      <c r="A471" s="1">
        <v>39231</v>
      </c>
      <c r="B471">
        <v>1.3509</v>
      </c>
      <c r="C471">
        <f t="shared" si="35"/>
        <v>0.415400048413853</v>
      </c>
      <c r="D471">
        <f t="shared" si="36"/>
        <v>0.069408285468279</v>
      </c>
      <c r="E471">
        <f t="shared" si="37"/>
        <v>0.0820324449857795</v>
      </c>
      <c r="F471">
        <f t="shared" si="39"/>
        <v>-0.0908154266089158</v>
      </c>
      <c r="G471">
        <f t="shared" si="38"/>
        <v>-0.198558320790445</v>
      </c>
    </row>
    <row r="472" spans="1:7">
      <c r="A472" s="1">
        <v>39232</v>
      </c>
      <c r="B472">
        <v>1.342</v>
      </c>
      <c r="C472">
        <f t="shared" si="35"/>
        <v>-0.660999844400851</v>
      </c>
      <c r="D472">
        <f t="shared" si="36"/>
        <v>0.0797231769436743</v>
      </c>
      <c r="E472">
        <f t="shared" si="37"/>
        <v>0.0867383582977443</v>
      </c>
      <c r="F472">
        <f t="shared" si="39"/>
        <v>1.47563950746172</v>
      </c>
      <c r="G472">
        <f t="shared" si="38"/>
        <v>1.29618393136675</v>
      </c>
    </row>
    <row r="473" spans="1:7">
      <c r="A473" s="1">
        <v>39233</v>
      </c>
      <c r="B473">
        <v>1.3453</v>
      </c>
      <c r="C473">
        <f t="shared" si="35"/>
        <v>0.245599795987008</v>
      </c>
      <c r="D473">
        <f t="shared" si="36"/>
        <v>0.115442938679102</v>
      </c>
      <c r="E473">
        <f t="shared" si="37"/>
        <v>0.104380096514777</v>
      </c>
      <c r="F473">
        <f t="shared" si="39"/>
        <v>-0.818238049537922</v>
      </c>
      <c r="G473">
        <f t="shared" si="38"/>
        <v>-0.840917704787582</v>
      </c>
    </row>
    <row r="474" spans="1:7">
      <c r="A474" s="1">
        <v>39234</v>
      </c>
      <c r="B474">
        <v>1.3436</v>
      </c>
      <c r="C474">
        <f t="shared" si="35"/>
        <v>-0.126445775335961</v>
      </c>
      <c r="D474">
        <f t="shared" si="36"/>
        <v>0.109930570790078</v>
      </c>
      <c r="E474">
        <f t="shared" si="37"/>
        <v>0.102133253713334</v>
      </c>
      <c r="F474">
        <f t="shared" si="39"/>
        <v>-1.03123208886336</v>
      </c>
      <c r="G474">
        <f t="shared" si="38"/>
        <v>-1.06246554394971</v>
      </c>
    </row>
    <row r="475" spans="1:7">
      <c r="A475" s="1">
        <v>39237</v>
      </c>
      <c r="B475">
        <v>1.3482</v>
      </c>
      <c r="C475">
        <f t="shared" si="35"/>
        <v>0.341779068120087</v>
      </c>
      <c r="D475">
        <f t="shared" si="36"/>
        <v>0.100536367121101</v>
      </c>
      <c r="E475">
        <f t="shared" si="37"/>
        <v>0.0978046851955491</v>
      </c>
      <c r="F475">
        <f t="shared" si="39"/>
        <v>-0.567669237986625</v>
      </c>
      <c r="G475">
        <f t="shared" si="38"/>
        <v>-0.565216880983057</v>
      </c>
    </row>
    <row r="476" spans="1:7">
      <c r="A476" s="1">
        <v>39238</v>
      </c>
      <c r="B476">
        <v>1.3532</v>
      </c>
      <c r="C476">
        <f t="shared" si="35"/>
        <v>0.370178848721492</v>
      </c>
      <c r="D476">
        <f t="shared" si="36"/>
        <v>0.102164023549494</v>
      </c>
      <c r="E476">
        <f t="shared" si="37"/>
        <v>0.0987770506540679</v>
      </c>
      <c r="F476">
        <f t="shared" si="39"/>
        <v>-0.469938941553032</v>
      </c>
      <c r="G476">
        <f t="shared" si="38"/>
        <v>-0.463800165964531</v>
      </c>
    </row>
    <row r="477" spans="1:7">
      <c r="A477" s="1">
        <v>39239</v>
      </c>
      <c r="B477">
        <v>1.3513</v>
      </c>
      <c r="C477">
        <f t="shared" si="35"/>
        <v>-0.140506586251308</v>
      </c>
      <c r="D477">
        <f t="shared" si="36"/>
        <v>0.105650859198622</v>
      </c>
      <c r="E477">
        <f t="shared" si="37"/>
        <v>0.100702046616862</v>
      </c>
      <c r="F477">
        <f t="shared" si="39"/>
        <v>-1.0303768435424</v>
      </c>
      <c r="G477">
        <f t="shared" si="38"/>
        <v>-1.04977223641278</v>
      </c>
    </row>
    <row r="478" spans="1:7">
      <c r="A478" s="1">
        <v>39240</v>
      </c>
      <c r="B478">
        <v>1.347</v>
      </c>
      <c r="C478">
        <f t="shared" si="35"/>
        <v>-0.318719463367641</v>
      </c>
      <c r="D478">
        <f t="shared" si="36"/>
        <v>0.0970599833567594</v>
      </c>
      <c r="E478">
        <f t="shared" si="37"/>
        <v>0.0966470288588504</v>
      </c>
      <c r="F478">
        <f t="shared" si="39"/>
        <v>-0.642917598118754</v>
      </c>
      <c r="G478">
        <f t="shared" si="38"/>
        <v>-0.642813509770672</v>
      </c>
    </row>
    <row r="479" spans="1:7">
      <c r="A479" s="1">
        <v>39241</v>
      </c>
      <c r="B479">
        <v>1.3349</v>
      </c>
      <c r="C479">
        <f t="shared" si="35"/>
        <v>-0.902351474867733</v>
      </c>
      <c r="D479">
        <f t="shared" si="36"/>
        <v>0.0975121946540192</v>
      </c>
      <c r="E479">
        <f t="shared" si="37"/>
        <v>0.0969273119437872</v>
      </c>
      <c r="F479">
        <f t="shared" si="39"/>
        <v>3.01116932543838</v>
      </c>
      <c r="G479">
        <f t="shared" si="38"/>
        <v>3.0333545772487</v>
      </c>
    </row>
    <row r="480" spans="1:7">
      <c r="A480" s="1">
        <v>39244</v>
      </c>
      <c r="B480">
        <v>1.3355</v>
      </c>
      <c r="C480">
        <f t="shared" si="35"/>
        <v>0.044937088832888</v>
      </c>
      <c r="D480">
        <f t="shared" si="36"/>
        <v>0.169184793608215</v>
      </c>
      <c r="E480">
        <f t="shared" si="37"/>
        <v>0.132823582436959</v>
      </c>
      <c r="F480">
        <f t="shared" si="39"/>
        <v>-0.882413995169685</v>
      </c>
      <c r="G480">
        <f t="shared" si="38"/>
        <v>-1.00176514533782</v>
      </c>
    </row>
    <row r="481" spans="1:7">
      <c r="A481" s="1">
        <v>39245</v>
      </c>
      <c r="B481">
        <v>1.3345</v>
      </c>
      <c r="C481">
        <f t="shared" si="35"/>
        <v>-0.07490637054366</v>
      </c>
      <c r="D481">
        <f t="shared" si="36"/>
        <v>0.152468248442671</v>
      </c>
      <c r="E481">
        <f t="shared" si="37"/>
        <v>0.12595513458838</v>
      </c>
      <c r="F481">
        <f t="shared" si="39"/>
        <v>-0.921999020255024</v>
      </c>
      <c r="G481">
        <f t="shared" si="38"/>
        <v>-1.01364109244044</v>
      </c>
    </row>
    <row r="482" spans="1:7">
      <c r="A482" s="1">
        <v>39246</v>
      </c>
      <c r="B482">
        <v>1.3287</v>
      </c>
      <c r="C482">
        <f t="shared" si="35"/>
        <v>-0.435566924731661</v>
      </c>
      <c r="D482">
        <f t="shared" si="36"/>
        <v>0.137782520033206</v>
      </c>
      <c r="E482">
        <f t="shared" si="37"/>
        <v>0.119678374730478</v>
      </c>
      <c r="F482">
        <f t="shared" si="39"/>
        <v>-0.302568363154871</v>
      </c>
      <c r="G482">
        <f t="shared" si="38"/>
        <v>-0.268855347132112</v>
      </c>
    </row>
    <row r="483" spans="1:7">
      <c r="A483" s="1">
        <v>39247</v>
      </c>
      <c r="B483">
        <v>1.3304</v>
      </c>
      <c r="C483">
        <f t="shared" si="35"/>
        <v>0.127862828145581</v>
      </c>
      <c r="D483">
        <f t="shared" si="36"/>
        <v>0.142976122621905</v>
      </c>
      <c r="E483">
        <f t="shared" si="37"/>
        <v>0.122983599542659</v>
      </c>
      <c r="F483">
        <f t="shared" si="39"/>
        <v>-0.915365276255558</v>
      </c>
      <c r="G483">
        <f t="shared" si="38"/>
        <v>-0.981384317594475</v>
      </c>
    </row>
    <row r="484" spans="1:7">
      <c r="A484" s="1">
        <v>39248</v>
      </c>
      <c r="B484">
        <v>1.3314</v>
      </c>
      <c r="C484">
        <f t="shared" si="35"/>
        <v>0.0751371287885155</v>
      </c>
      <c r="D484">
        <f t="shared" si="36"/>
        <v>0.130313400641853</v>
      </c>
      <c r="E484">
        <f t="shared" si="37"/>
        <v>0.117422028711169</v>
      </c>
      <c r="F484">
        <f t="shared" si="39"/>
        <v>-0.997244898510631</v>
      </c>
      <c r="G484">
        <f t="shared" si="38"/>
        <v>-1.04695064389166</v>
      </c>
    </row>
    <row r="485" spans="1:7">
      <c r="A485" s="1">
        <v>39251</v>
      </c>
      <c r="B485">
        <v>1.3404</v>
      </c>
      <c r="C485">
        <f t="shared" si="35"/>
        <v>0.673705669655225</v>
      </c>
      <c r="D485">
        <f t="shared" si="36"/>
        <v>0.117846619389926</v>
      </c>
      <c r="E485">
        <f t="shared" si="37"/>
        <v>0.111658986394628</v>
      </c>
      <c r="F485">
        <f t="shared" si="39"/>
        <v>0.856534949650874</v>
      </c>
      <c r="G485">
        <f t="shared" si="38"/>
        <v>0.93628238403361</v>
      </c>
    </row>
    <row r="486" spans="1:7">
      <c r="A486" s="1">
        <v>39252</v>
      </c>
      <c r="B486">
        <v>1.3403</v>
      </c>
      <c r="C486">
        <f t="shared" si="35"/>
        <v>-0.00746073787043899</v>
      </c>
      <c r="D486">
        <f t="shared" si="36"/>
        <v>0.151449890383493</v>
      </c>
      <c r="E486">
        <f t="shared" si="37"/>
        <v>0.12865341367723</v>
      </c>
      <c r="F486">
        <f t="shared" si="39"/>
        <v>-0.94356646688085</v>
      </c>
      <c r="G486">
        <f t="shared" si="38"/>
        <v>-1.02510027523965</v>
      </c>
    </row>
    <row r="487" spans="1:7">
      <c r="A487" s="1">
        <v>39253</v>
      </c>
      <c r="B487">
        <v>1.3427</v>
      </c>
      <c r="C487">
        <f t="shared" si="35"/>
        <v>0.178904259421137</v>
      </c>
      <c r="D487">
        <f t="shared" si="36"/>
        <v>0.136310467606101</v>
      </c>
      <c r="E487">
        <f t="shared" si="37"/>
        <v>0.121936991987075</v>
      </c>
      <c r="F487">
        <f t="shared" si="39"/>
        <v>-0.879006271424816</v>
      </c>
      <c r="G487">
        <f t="shared" si="38"/>
        <v>-0.920882492283032</v>
      </c>
    </row>
    <row r="488" spans="1:7">
      <c r="A488" s="1">
        <v>39254</v>
      </c>
      <c r="B488">
        <v>1.3397</v>
      </c>
      <c r="C488">
        <f t="shared" si="35"/>
        <v>-0.22368037957223</v>
      </c>
      <c r="D488">
        <f t="shared" si="36"/>
        <v>0.125880094249393</v>
      </c>
      <c r="E488">
        <f t="shared" si="37"/>
        <v>0.117221109169802</v>
      </c>
      <c r="F488">
        <f t="shared" si="39"/>
        <v>-0.837480306307987</v>
      </c>
      <c r="G488">
        <f t="shared" si="38"/>
        <v>-0.858434100446137</v>
      </c>
    </row>
    <row r="489" spans="1:7">
      <c r="A489" s="1">
        <v>39255</v>
      </c>
      <c r="B489">
        <v>1.3441</v>
      </c>
      <c r="C489">
        <f t="shared" si="35"/>
        <v>0.327893579416259</v>
      </c>
      <c r="D489">
        <f t="shared" si="36"/>
        <v>0.118295376045012</v>
      </c>
      <c r="E489">
        <f t="shared" si="37"/>
        <v>0.113689488229892</v>
      </c>
      <c r="F489">
        <f t="shared" si="39"/>
        <v>-0.612854182083866</v>
      </c>
      <c r="G489">
        <f t="shared" si="38"/>
        <v>-0.614300741368392</v>
      </c>
    </row>
    <row r="490" spans="1:7">
      <c r="A490" s="1">
        <v>39258</v>
      </c>
      <c r="B490">
        <v>1.3461</v>
      </c>
      <c r="C490">
        <f t="shared" si="35"/>
        <v>0.14868785729447</v>
      </c>
      <c r="D490">
        <f t="shared" si="36"/>
        <v>0.117217258382751</v>
      </c>
      <c r="E490">
        <f t="shared" si="37"/>
        <v>0.113243828907219</v>
      </c>
      <c r="F490">
        <f t="shared" si="39"/>
        <v>-0.977559222443013</v>
      </c>
      <c r="G490">
        <f t="shared" si="38"/>
        <v>-0.991493272098266</v>
      </c>
    </row>
    <row r="491" spans="1:7">
      <c r="A491" s="1">
        <v>39259</v>
      </c>
      <c r="B491">
        <v>1.346</v>
      </c>
      <c r="C491">
        <f t="shared" si="35"/>
        <v>-0.00742914453742367</v>
      </c>
      <c r="D491">
        <f t="shared" si="36"/>
        <v>0.107706340435158</v>
      </c>
      <c r="E491">
        <f t="shared" si="37"/>
        <v>0.108554603118127</v>
      </c>
      <c r="F491">
        <f t="shared" si="39"/>
        <v>-1.11391719658331</v>
      </c>
      <c r="G491">
        <f t="shared" si="38"/>
        <v>-1.10999677507496</v>
      </c>
    </row>
    <row r="492" spans="1:7">
      <c r="A492" s="1">
        <v>39260</v>
      </c>
      <c r="B492">
        <v>1.3438</v>
      </c>
      <c r="C492">
        <f t="shared" si="35"/>
        <v>-0.163580971862352</v>
      </c>
      <c r="D492">
        <f t="shared" si="36"/>
        <v>0.0969412256104981</v>
      </c>
      <c r="E492">
        <f t="shared" si="37"/>
        <v>0.103044086540467</v>
      </c>
      <c r="F492">
        <f t="shared" si="39"/>
        <v>-1.02880995603245</v>
      </c>
      <c r="G492">
        <f t="shared" si="38"/>
        <v>-1.00645798534972</v>
      </c>
    </row>
    <row r="493" spans="1:7">
      <c r="A493" s="1">
        <v>39261</v>
      </c>
      <c r="B493">
        <v>1.3467</v>
      </c>
      <c r="C493">
        <f t="shared" si="35"/>
        <v>0.215573396994655</v>
      </c>
      <c r="D493">
        <f t="shared" si="36"/>
        <v>0.0899229764849914</v>
      </c>
      <c r="E493">
        <f t="shared" si="37"/>
        <v>0.0991993780658109</v>
      </c>
      <c r="F493">
        <f t="shared" si="39"/>
        <v>-0.946002590489838</v>
      </c>
      <c r="G493">
        <f t="shared" si="38"/>
        <v>-0.921076984599105</v>
      </c>
    </row>
    <row r="494" spans="1:7">
      <c r="A494" s="1">
        <v>39262</v>
      </c>
      <c r="B494">
        <v>1.3505</v>
      </c>
      <c r="C494">
        <f t="shared" si="35"/>
        <v>0.281773877667421</v>
      </c>
      <c r="D494">
        <f t="shared" si="36"/>
        <v>0.0855778677856738</v>
      </c>
      <c r="E494">
        <f t="shared" si="37"/>
        <v>0.096571009856453</v>
      </c>
      <c r="F494">
        <f t="shared" si="39"/>
        <v>-0.765279643661197</v>
      </c>
      <c r="G494">
        <f t="shared" si="38"/>
        <v>-0.757659914396144</v>
      </c>
    </row>
    <row r="495" spans="1:7">
      <c r="A495" s="1">
        <v>39265</v>
      </c>
      <c r="B495">
        <v>1.3588</v>
      </c>
      <c r="C495">
        <f t="shared" si="35"/>
        <v>0.612706305375864</v>
      </c>
      <c r="D495">
        <f t="shared" si="36"/>
        <v>0.0849597328206799</v>
      </c>
      <c r="E495">
        <f t="shared" si="37"/>
        <v>0.0957465751718525</v>
      </c>
      <c r="F495">
        <f t="shared" si="39"/>
        <v>0.976546031704126</v>
      </c>
      <c r="G495">
        <f t="shared" si="38"/>
        <v>0.787405311788429</v>
      </c>
    </row>
    <row r="496" spans="1:7">
      <c r="A496" s="1">
        <v>39266</v>
      </c>
      <c r="B496">
        <v>1.3601</v>
      </c>
      <c r="C496">
        <f t="shared" si="35"/>
        <v>0.0956269152278804</v>
      </c>
      <c r="D496">
        <f t="shared" si="36"/>
        <v>0.114004661203346</v>
      </c>
      <c r="E496">
        <f t="shared" si="37"/>
        <v>0.109772231493908</v>
      </c>
      <c r="F496">
        <f t="shared" si="39"/>
        <v>-1.04565212520153</v>
      </c>
      <c r="G496">
        <f t="shared" si="38"/>
        <v>-1.06302165484421</v>
      </c>
    </row>
    <row r="497" spans="1:7">
      <c r="A497" s="1">
        <v>39267</v>
      </c>
      <c r="B497">
        <v>1.3618</v>
      </c>
      <c r="C497">
        <f t="shared" si="35"/>
        <v>0.124912761015836</v>
      </c>
      <c r="D497">
        <f t="shared" si="36"/>
        <v>0.103518645774611</v>
      </c>
      <c r="E497">
        <f t="shared" si="37"/>
        <v>0.104643122950074</v>
      </c>
      <c r="F497">
        <f t="shared" si="39"/>
        <v>-1.05863757462408</v>
      </c>
      <c r="G497">
        <f t="shared" si="38"/>
        <v>-1.0540454338385</v>
      </c>
    </row>
    <row r="498" spans="1:7">
      <c r="A498" s="1">
        <v>39268</v>
      </c>
      <c r="B498">
        <v>1.364</v>
      </c>
      <c r="C498">
        <f t="shared" si="35"/>
        <v>0.16142053545412</v>
      </c>
      <c r="D498">
        <f t="shared" si="36"/>
        <v>0.0947271009836103</v>
      </c>
      <c r="E498">
        <f t="shared" si="37"/>
        <v>0.100144695466299</v>
      </c>
      <c r="F498">
        <f t="shared" si="39"/>
        <v>-1.04084254169896</v>
      </c>
      <c r="G498">
        <f t="shared" si="38"/>
        <v>-1.02047488688945</v>
      </c>
    </row>
    <row r="499" spans="1:7">
      <c r="A499" s="1">
        <v>39269</v>
      </c>
      <c r="B499">
        <v>1.3596</v>
      </c>
      <c r="C499">
        <f t="shared" si="35"/>
        <v>-0.323102058144664</v>
      </c>
      <c r="D499">
        <f t="shared" si="36"/>
        <v>0.0878600498118787</v>
      </c>
      <c r="E499">
        <f t="shared" si="37"/>
        <v>0.0964388432016362</v>
      </c>
      <c r="F499">
        <f t="shared" si="39"/>
        <v>-0.621907149246851</v>
      </c>
      <c r="G499">
        <f t="shared" si="38"/>
        <v>-0.628173669217038</v>
      </c>
    </row>
    <row r="500" spans="1:7">
      <c r="A500" s="1">
        <v>39272</v>
      </c>
      <c r="B500">
        <v>1.3621</v>
      </c>
      <c r="C500">
        <f t="shared" si="35"/>
        <v>0.183708763133512</v>
      </c>
      <c r="D500">
        <f t="shared" si="36"/>
        <v>0.0895135388284227</v>
      </c>
      <c r="E500">
        <f t="shared" si="37"/>
        <v>0.096872259608404</v>
      </c>
      <c r="F500">
        <f t="shared" si="39"/>
        <v>-1.01816981864101</v>
      </c>
      <c r="G500">
        <f t="shared" si="38"/>
        <v>-0.992988191474062</v>
      </c>
    </row>
    <row r="501" spans="1:7">
      <c r="A501" s="1">
        <v>39273</v>
      </c>
      <c r="B501">
        <v>1.3666</v>
      </c>
      <c r="C501">
        <f t="shared" si="35"/>
        <v>0.329827689338202</v>
      </c>
      <c r="D501">
        <f t="shared" si="36"/>
        <v>0.0839370759107849</v>
      </c>
      <c r="E501">
        <f t="shared" si="37"/>
        <v>0.093747369514502</v>
      </c>
      <c r="F501">
        <f t="shared" si="39"/>
        <v>-0.590820969271233</v>
      </c>
      <c r="G501">
        <f t="shared" si="38"/>
        <v>-0.603365931869783</v>
      </c>
    </row>
    <row r="502" spans="1:7">
      <c r="A502" s="1">
        <v>39274</v>
      </c>
      <c r="B502">
        <v>1.3753</v>
      </c>
      <c r="C502">
        <f t="shared" si="35"/>
        <v>0.634598577398416</v>
      </c>
      <c r="D502">
        <f t="shared" si="36"/>
        <v>0.0864219987851241</v>
      </c>
      <c r="E502">
        <f t="shared" si="37"/>
        <v>0.0945618425763407</v>
      </c>
      <c r="F502">
        <f t="shared" si="39"/>
        <v>1.1056789236637</v>
      </c>
      <c r="G502">
        <f t="shared" si="38"/>
        <v>0.950124947830633</v>
      </c>
    </row>
    <row r="503" spans="1:7">
      <c r="A503" s="1">
        <v>39275</v>
      </c>
      <c r="B503">
        <v>1.3788</v>
      </c>
      <c r="C503">
        <f t="shared" si="35"/>
        <v>0.254166652204836</v>
      </c>
      <c r="D503">
        <f t="shared" si="36"/>
        <v>0.118051334350221</v>
      </c>
      <c r="E503">
        <f t="shared" si="37"/>
        <v>0.110023899743565</v>
      </c>
      <c r="F503">
        <f t="shared" si="39"/>
        <v>-0.794705162763943</v>
      </c>
      <c r="G503">
        <f t="shared" si="38"/>
        <v>-0.809953131719237</v>
      </c>
    </row>
    <row r="504" spans="1:7">
      <c r="A504" s="1">
        <v>39276</v>
      </c>
      <c r="B504">
        <v>1.3782</v>
      </c>
      <c r="C504">
        <f t="shared" si="35"/>
        <v>-0.0435255719602724</v>
      </c>
      <c r="D504">
        <f t="shared" si="36"/>
        <v>0.1127062696245</v>
      </c>
      <c r="E504">
        <f t="shared" si="37"/>
        <v>0.107652500113602</v>
      </c>
      <c r="F504">
        <f t="shared" si="39"/>
        <v>-1.08308063314433</v>
      </c>
      <c r="G504">
        <f t="shared" si="38"/>
        <v>-1.1056243842887</v>
      </c>
    </row>
    <row r="505" spans="1:7">
      <c r="A505" s="1">
        <v>39279</v>
      </c>
      <c r="B505">
        <v>1.3781</v>
      </c>
      <c r="C505">
        <f t="shared" si="35"/>
        <v>-0.00725610420084325</v>
      </c>
      <c r="D505">
        <f t="shared" si="36"/>
        <v>0.101625090203497</v>
      </c>
      <c r="E505">
        <f t="shared" si="37"/>
        <v>0.102288073877509</v>
      </c>
      <c r="F505">
        <f t="shared" si="39"/>
        <v>-1.14297336623409</v>
      </c>
      <c r="G505">
        <f t="shared" si="38"/>
        <v>-1.13972372984891</v>
      </c>
    </row>
    <row r="506" spans="1:7">
      <c r="A506" s="1">
        <v>39280</v>
      </c>
      <c r="B506">
        <v>1.3771</v>
      </c>
      <c r="C506">
        <f t="shared" si="35"/>
        <v>-0.0725900148019058</v>
      </c>
      <c r="D506">
        <f t="shared" si="36"/>
        <v>0.0914678462879649</v>
      </c>
      <c r="E506">
        <f t="shared" si="37"/>
        <v>0.0971534219972672</v>
      </c>
      <c r="F506">
        <f t="shared" si="39"/>
        <v>-1.16707972052053</v>
      </c>
      <c r="G506">
        <f t="shared" si="38"/>
        <v>-1.13861343944825</v>
      </c>
    </row>
    <row r="507" spans="1:7">
      <c r="A507" s="1">
        <v>39281</v>
      </c>
      <c r="B507">
        <v>1.3779</v>
      </c>
      <c r="C507">
        <f t="shared" si="35"/>
        <v>0.0580762266777267</v>
      </c>
      <c r="D507">
        <f t="shared" si="36"/>
        <v>0.0828479926840625</v>
      </c>
      <c r="E507">
        <f t="shared" si="37"/>
        <v>0.0925876821898782</v>
      </c>
      <c r="F507">
        <f t="shared" si="39"/>
        <v>-1.22501824018438</v>
      </c>
      <c r="G507">
        <f t="shared" si="38"/>
        <v>-1.17158523822567</v>
      </c>
    </row>
    <row r="508" spans="1:7">
      <c r="A508" s="1">
        <v>39282</v>
      </c>
      <c r="B508">
        <v>1.382</v>
      </c>
      <c r="C508">
        <f t="shared" si="35"/>
        <v>0.29711243277577</v>
      </c>
      <c r="D508">
        <f t="shared" si="36"/>
        <v>0.0749004782261685</v>
      </c>
      <c r="E508">
        <f t="shared" si="37"/>
        <v>0.0882010636637417</v>
      </c>
      <c r="F508">
        <f t="shared" si="39"/>
        <v>-0.706510224874439</v>
      </c>
      <c r="G508">
        <f t="shared" si="38"/>
        <v>-0.713644470897024</v>
      </c>
    </row>
    <row r="509" spans="1:7">
      <c r="A509" s="1">
        <v>39283</v>
      </c>
      <c r="B509">
        <v>1.3803</v>
      </c>
      <c r="C509">
        <f t="shared" si="35"/>
        <v>-0.123085849808244</v>
      </c>
      <c r="D509">
        <f t="shared" si="36"/>
        <v>0.0762380101745453</v>
      </c>
      <c r="E509">
        <f t="shared" si="37"/>
        <v>0.088322789729414</v>
      </c>
      <c r="F509">
        <f t="shared" si="39"/>
        <v>-1.18758684459934</v>
      </c>
      <c r="G509">
        <f t="shared" si="38"/>
        <v>-1.12761288546428</v>
      </c>
    </row>
    <row r="510" spans="1:7">
      <c r="A510" s="1">
        <v>39286</v>
      </c>
      <c r="B510">
        <v>1.3821</v>
      </c>
      <c r="C510">
        <f t="shared" si="35"/>
        <v>0.130321478044836</v>
      </c>
      <c r="D510">
        <f t="shared" si="36"/>
        <v>0.0701292217993926</v>
      </c>
      <c r="E510">
        <f t="shared" si="37"/>
        <v>0.0847809286668</v>
      </c>
      <c r="F510">
        <f t="shared" si="39"/>
        <v>-1.20761933447369</v>
      </c>
      <c r="G510">
        <f t="shared" si="38"/>
        <v>-1.13368013569315</v>
      </c>
    </row>
    <row r="511" spans="1:7">
      <c r="A511" s="1">
        <v>39287</v>
      </c>
      <c r="B511">
        <v>1.3833</v>
      </c>
      <c r="C511">
        <f t="shared" si="35"/>
        <v>0.086786727078843</v>
      </c>
      <c r="D511">
        <f t="shared" si="36"/>
        <v>0.0648146683834324</v>
      </c>
      <c r="E511">
        <f t="shared" si="37"/>
        <v>0.0815432573287816</v>
      </c>
      <c r="F511">
        <f t="shared" si="39"/>
        <v>-1.31000803111693</v>
      </c>
      <c r="G511">
        <f t="shared" si="38"/>
        <v>-1.20712713375666</v>
      </c>
    </row>
    <row r="512" spans="1:7">
      <c r="A512" s="1">
        <v>39288</v>
      </c>
      <c r="B512">
        <v>1.3743</v>
      </c>
      <c r="C512">
        <f t="shared" si="35"/>
        <v>-0.652743831996338</v>
      </c>
      <c r="D512">
        <f t="shared" si="36"/>
        <v>0.0590863951447949</v>
      </c>
      <c r="E512">
        <f t="shared" si="37"/>
        <v>0.0780272586889075</v>
      </c>
      <c r="F512">
        <f t="shared" si="39"/>
        <v>2.19114399004005</v>
      </c>
      <c r="G512">
        <f t="shared" si="38"/>
        <v>1.45494418242644</v>
      </c>
    </row>
    <row r="513" spans="1:7">
      <c r="A513" s="1">
        <v>39289</v>
      </c>
      <c r="B513">
        <v>1.3722</v>
      </c>
      <c r="C513">
        <f t="shared" si="35"/>
        <v>-0.15292193040157</v>
      </c>
      <c r="D513">
        <f t="shared" si="36"/>
        <v>0.0957852066512418</v>
      </c>
      <c r="E513">
        <f t="shared" si="37"/>
        <v>0.0956493486780363</v>
      </c>
      <c r="F513">
        <f t="shared" si="39"/>
        <v>-1.05075290466013</v>
      </c>
      <c r="G513">
        <f t="shared" si="38"/>
        <v>-1.05128920234795</v>
      </c>
    </row>
    <row r="514" spans="1:7">
      <c r="A514" s="1">
        <v>39290</v>
      </c>
      <c r="B514">
        <v>1.3651</v>
      </c>
      <c r="C514">
        <f t="shared" si="35"/>
        <v>-0.518760524785842</v>
      </c>
      <c r="D514">
        <f t="shared" si="36"/>
        <v>0.0885451976658919</v>
      </c>
      <c r="E514">
        <f t="shared" si="37"/>
        <v>0.0920796435972412</v>
      </c>
      <c r="F514">
        <f t="shared" si="39"/>
        <v>0.307512339554469</v>
      </c>
      <c r="G514">
        <f t="shared" si="38"/>
        <v>0.268752107709952</v>
      </c>
    </row>
    <row r="515" spans="1:7">
      <c r="A515" s="1">
        <v>39293</v>
      </c>
      <c r="B515">
        <v>1.3659</v>
      </c>
      <c r="C515">
        <f t="shared" si="35"/>
        <v>0.0585865999914025</v>
      </c>
      <c r="D515">
        <f t="shared" si="36"/>
        <v>0.106601926106911</v>
      </c>
      <c r="E515">
        <f t="shared" si="37"/>
        <v>0.101010489085211</v>
      </c>
      <c r="F515">
        <f t="shared" si="39"/>
        <v>-1.10322775149154</v>
      </c>
      <c r="G515">
        <f t="shared" si="38"/>
        <v>-1.12927519386997</v>
      </c>
    </row>
    <row r="516" spans="1:7">
      <c r="A516" s="1">
        <v>39294</v>
      </c>
      <c r="B516">
        <v>1.3707</v>
      </c>
      <c r="C516">
        <f t="shared" ref="C516:C579" si="40">100*LN(B516/B515)</f>
        <v>0.350800622848959</v>
      </c>
      <c r="D516">
        <f t="shared" si="36"/>
        <v>0.0962849724660751</v>
      </c>
      <c r="E516">
        <f t="shared" si="37"/>
        <v>0.0961214792250258</v>
      </c>
      <c r="F516">
        <f t="shared" si="39"/>
        <v>-0.531175386323282</v>
      </c>
      <c r="G516">
        <f t="shared" si="38"/>
        <v>-0.530938160008247</v>
      </c>
    </row>
    <row r="517" spans="1:7">
      <c r="A517" s="1">
        <v>39295</v>
      </c>
      <c r="B517">
        <v>1.3663</v>
      </c>
      <c r="C517">
        <f t="shared" si="40"/>
        <v>-0.32152018928933</v>
      </c>
      <c r="D517">
        <f t="shared" ref="D517:D580" si="41">$J$1*D516+(1-$J$1)*C516^2</f>
        <v>0.0989625829185894</v>
      </c>
      <c r="E517">
        <f t="shared" ref="E517:E580" si="42">$K$1+$K$2*C516^2+$K$3*E516</f>
        <v>0.0975072443210852</v>
      </c>
      <c r="F517">
        <f t="shared" si="39"/>
        <v>-0.63421219199599</v>
      </c>
      <c r="G517">
        <f t="shared" ref="G517:G580" si="43">0.5*(LN(E517)+C517^2/E517)</f>
        <v>-0.633824292088391</v>
      </c>
    </row>
    <row r="518" spans="1:7">
      <c r="A518" s="1">
        <v>39296</v>
      </c>
      <c r="B518">
        <v>1.3664</v>
      </c>
      <c r="C518">
        <f t="shared" si="40"/>
        <v>0.00731876898631452</v>
      </c>
      <c r="D518">
        <f t="shared" si="41"/>
        <v>0.0994038478387951</v>
      </c>
      <c r="E518">
        <f t="shared" si="42"/>
        <v>0.0978255712678524</v>
      </c>
      <c r="F518">
        <f t="shared" si="39"/>
        <v>-1.15401279960968</v>
      </c>
      <c r="G518">
        <f t="shared" si="43"/>
        <v>-1.16201086066715</v>
      </c>
    </row>
    <row r="519" spans="1:7">
      <c r="A519" s="1">
        <v>39297</v>
      </c>
      <c r="B519">
        <v>1.3694</v>
      </c>
      <c r="C519">
        <f t="shared" si="40"/>
        <v>0.219314365265711</v>
      </c>
      <c r="D519">
        <f t="shared" si="41"/>
        <v>0.0894688194928631</v>
      </c>
      <c r="E519">
        <f t="shared" si="42"/>
        <v>0.092958715210755</v>
      </c>
      <c r="F519">
        <f t="shared" ref="F519:F582" si="44">0.5*(LN(D519)+C519^2/D519)</f>
        <v>-0.938130574694791</v>
      </c>
      <c r="G519">
        <f t="shared" si="43"/>
        <v>-0.929089406500444</v>
      </c>
    </row>
    <row r="520" spans="1:7">
      <c r="A520" s="1">
        <v>39300</v>
      </c>
      <c r="B520">
        <v>1.3818</v>
      </c>
      <c r="C520">
        <f t="shared" si="40"/>
        <v>0.901430936773186</v>
      </c>
      <c r="D520">
        <f t="shared" si="41"/>
        <v>0.085331816624767</v>
      </c>
      <c r="E520">
        <f t="shared" si="42"/>
        <v>0.0907861318387048</v>
      </c>
      <c r="F520">
        <f t="shared" si="44"/>
        <v>3.53067833688143</v>
      </c>
      <c r="G520">
        <f t="shared" si="43"/>
        <v>3.27560613871094</v>
      </c>
    </row>
    <row r="521" spans="1:7">
      <c r="A521" s="1">
        <v>39301</v>
      </c>
      <c r="B521">
        <v>1.3794</v>
      </c>
      <c r="C521">
        <f t="shared" si="40"/>
        <v>-0.173837505750367</v>
      </c>
      <c r="D521">
        <f t="shared" si="41"/>
        <v>0.158056408339469</v>
      </c>
      <c r="E521">
        <f t="shared" si="42"/>
        <v>0.126967850616972</v>
      </c>
      <c r="F521">
        <f t="shared" si="44"/>
        <v>-0.826804516245906</v>
      </c>
      <c r="G521">
        <f t="shared" si="43"/>
        <v>-0.912906234876552</v>
      </c>
    </row>
    <row r="522" spans="1:7">
      <c r="A522" s="1">
        <v>39302</v>
      </c>
      <c r="B522">
        <v>1.3794</v>
      </c>
      <c r="C522">
        <f t="shared" si="40"/>
        <v>0</v>
      </c>
      <c r="D522">
        <f t="shared" si="41"/>
        <v>0.145272715346073</v>
      </c>
      <c r="E522">
        <f t="shared" si="42"/>
        <v>0.121860753500229</v>
      </c>
      <c r="F522">
        <f t="shared" si="44"/>
        <v>-0.964571253776333</v>
      </c>
      <c r="G522">
        <f t="shared" si="43"/>
        <v>-1.05243812542695</v>
      </c>
    </row>
    <row r="523" spans="1:7">
      <c r="A523" s="1">
        <v>39303</v>
      </c>
      <c r="B523">
        <v>1.3729</v>
      </c>
      <c r="C523">
        <f t="shared" si="40"/>
        <v>-0.472333109363156</v>
      </c>
      <c r="D523">
        <f t="shared" si="41"/>
        <v>0.130745443811465</v>
      </c>
      <c r="E523">
        <f t="shared" si="42"/>
        <v>0.115549108290215</v>
      </c>
      <c r="F523">
        <f t="shared" si="44"/>
        <v>-0.16407238850565</v>
      </c>
      <c r="G523">
        <f t="shared" si="43"/>
        <v>-0.113645632868172</v>
      </c>
    </row>
    <row r="524" spans="1:7">
      <c r="A524" s="1">
        <v>39304</v>
      </c>
      <c r="B524">
        <v>1.365</v>
      </c>
      <c r="C524">
        <f t="shared" si="40"/>
        <v>-0.577086228449912</v>
      </c>
      <c r="D524">
        <f t="shared" si="41"/>
        <v>0.139980756050385</v>
      </c>
      <c r="E524">
        <f t="shared" si="42"/>
        <v>0.120771090102835</v>
      </c>
      <c r="F524">
        <f t="shared" si="44"/>
        <v>0.206425904369818</v>
      </c>
      <c r="G524">
        <f t="shared" si="43"/>
        <v>0.321830078117279</v>
      </c>
    </row>
    <row r="525" spans="1:7">
      <c r="A525" s="1">
        <v>39307</v>
      </c>
      <c r="B525">
        <v>1.3651</v>
      </c>
      <c r="C525">
        <f t="shared" si="40"/>
        <v>0.00732573898719176</v>
      </c>
      <c r="D525">
        <f t="shared" si="41"/>
        <v>0.159285531952001</v>
      </c>
      <c r="E525">
        <f t="shared" si="42"/>
        <v>0.131176250449992</v>
      </c>
      <c r="F525">
        <f t="shared" si="44"/>
        <v>-0.918359984513203</v>
      </c>
      <c r="G525">
        <f t="shared" si="43"/>
        <v>-1.01540215981747</v>
      </c>
    </row>
    <row r="526" spans="1:7">
      <c r="A526" s="1">
        <v>39308</v>
      </c>
      <c r="B526">
        <v>1.3591</v>
      </c>
      <c r="C526">
        <f t="shared" si="40"/>
        <v>-0.440497004763046</v>
      </c>
      <c r="D526">
        <f t="shared" si="41"/>
        <v>0.143362345401972</v>
      </c>
      <c r="E526">
        <f t="shared" si="42"/>
        <v>0.124308358745578</v>
      </c>
      <c r="F526">
        <f t="shared" si="44"/>
        <v>-0.294451575379986</v>
      </c>
      <c r="G526">
        <f t="shared" si="43"/>
        <v>-0.262026137464645</v>
      </c>
    </row>
    <row r="527" spans="1:7">
      <c r="A527" s="1">
        <v>39309</v>
      </c>
      <c r="B527">
        <v>1.3476</v>
      </c>
      <c r="C527">
        <f t="shared" si="40"/>
        <v>-0.849748342890392</v>
      </c>
      <c r="D527">
        <f t="shared" si="41"/>
        <v>0.148429871982296</v>
      </c>
      <c r="E527">
        <f t="shared" si="42"/>
        <v>0.127551737781104</v>
      </c>
      <c r="F527">
        <f t="shared" si="44"/>
        <v>1.4785470147315</v>
      </c>
      <c r="G527">
        <f t="shared" si="43"/>
        <v>1.80089068084313</v>
      </c>
    </row>
    <row r="528" spans="1:7">
      <c r="A528" s="1">
        <v>39310</v>
      </c>
      <c r="B528">
        <v>1.3405</v>
      </c>
      <c r="C528">
        <f t="shared" si="40"/>
        <v>-0.528255385638376</v>
      </c>
      <c r="D528">
        <f t="shared" si="41"/>
        <v>0.205794109408563</v>
      </c>
      <c r="E528">
        <f t="shared" si="42"/>
        <v>0.157002245826486</v>
      </c>
      <c r="F528">
        <f t="shared" si="44"/>
        <v>-0.112446973819737</v>
      </c>
      <c r="G528">
        <f t="shared" si="43"/>
        <v>-0.0370540789712248</v>
      </c>
    </row>
    <row r="529" spans="1:7">
      <c r="A529" s="1">
        <v>39311</v>
      </c>
      <c r="B529">
        <v>1.3454</v>
      </c>
      <c r="C529">
        <f t="shared" si="40"/>
        <v>0.364868791549139</v>
      </c>
      <c r="D529">
        <f t="shared" si="41"/>
        <v>0.213120073713302</v>
      </c>
      <c r="E529">
        <f t="shared" si="42"/>
        <v>0.162534798699695</v>
      </c>
      <c r="F529">
        <f t="shared" si="44"/>
        <v>-0.460615902286771</v>
      </c>
      <c r="G529">
        <f t="shared" si="43"/>
        <v>-0.498890863061211</v>
      </c>
    </row>
    <row r="530" spans="1:7">
      <c r="A530" s="1">
        <v>39314</v>
      </c>
      <c r="B530">
        <v>1.3476</v>
      </c>
      <c r="C530">
        <f t="shared" si="40"/>
        <v>0.163386594089235</v>
      </c>
      <c r="D530">
        <f t="shared" si="41"/>
        <v>0.205120989846625</v>
      </c>
      <c r="E530">
        <f t="shared" si="42"/>
        <v>0.160439172530039</v>
      </c>
      <c r="F530">
        <f t="shared" si="44"/>
        <v>-0.727005851790923</v>
      </c>
      <c r="G530">
        <f t="shared" si="43"/>
        <v>-0.83172611649342</v>
      </c>
    </row>
    <row r="531" spans="1:7">
      <c r="A531" s="1">
        <v>39315</v>
      </c>
      <c r="B531">
        <v>1.3508</v>
      </c>
      <c r="C531">
        <f t="shared" si="40"/>
        <v>0.237177697901479</v>
      </c>
      <c r="D531">
        <f t="shared" si="41"/>
        <v>0.18727840877477</v>
      </c>
      <c r="E531">
        <f t="shared" si="42"/>
        <v>0.153147581134641</v>
      </c>
      <c r="F531">
        <f t="shared" si="44"/>
        <v>-0.687393288797977</v>
      </c>
      <c r="G531">
        <f t="shared" si="43"/>
        <v>-0.754519588079724</v>
      </c>
    </row>
    <row r="532" spans="1:7">
      <c r="A532" s="1">
        <v>39316</v>
      </c>
      <c r="B532">
        <v>1.3493</v>
      </c>
      <c r="C532">
        <f t="shared" si="40"/>
        <v>-0.111107007467101</v>
      </c>
      <c r="D532">
        <f t="shared" si="41"/>
        <v>0.174175893935478</v>
      </c>
      <c r="E532">
        <f t="shared" si="42"/>
        <v>0.147771389285655</v>
      </c>
      <c r="F532">
        <f t="shared" si="44"/>
        <v>-0.8384071575114</v>
      </c>
      <c r="G532">
        <f t="shared" si="43"/>
        <v>-0.914274618478686</v>
      </c>
    </row>
    <row r="533" spans="1:7">
      <c r="A533" s="1">
        <v>39317</v>
      </c>
      <c r="B533">
        <v>1.3574</v>
      </c>
      <c r="C533">
        <f t="shared" si="40"/>
        <v>0.59851658329164</v>
      </c>
      <c r="D533">
        <f t="shared" si="41"/>
        <v>0.157992781252759</v>
      </c>
      <c r="E533">
        <f t="shared" si="42"/>
        <v>0.14052234428393</v>
      </c>
      <c r="F533">
        <f t="shared" si="44"/>
        <v>0.21106306961768</v>
      </c>
      <c r="G533">
        <f t="shared" si="43"/>
        <v>0.293414654824377</v>
      </c>
    </row>
    <row r="534" spans="1:7">
      <c r="A534" s="1">
        <v>39318</v>
      </c>
      <c r="B534">
        <v>1.3615</v>
      </c>
      <c r="C534">
        <f t="shared" si="40"/>
        <v>0.301592784415623</v>
      </c>
      <c r="D534">
        <f t="shared" si="41"/>
        <v>0.178015713174993</v>
      </c>
      <c r="E534">
        <f t="shared" si="42"/>
        <v>0.151002108650649</v>
      </c>
      <c r="F534">
        <f t="shared" si="44"/>
        <v>-0.607463697628591</v>
      </c>
      <c r="G534">
        <f t="shared" si="43"/>
        <v>-0.644048826803388</v>
      </c>
    </row>
    <row r="535" spans="1:7">
      <c r="A535" s="1">
        <v>39321</v>
      </c>
      <c r="B535">
        <v>1.3658</v>
      </c>
      <c r="C535">
        <f t="shared" si="40"/>
        <v>0.315330441317463</v>
      </c>
      <c r="D535">
        <f t="shared" si="41"/>
        <v>0.169309962618651</v>
      </c>
      <c r="E535">
        <f t="shared" si="42"/>
        <v>0.147489892512189</v>
      </c>
      <c r="F535">
        <f t="shared" si="44"/>
        <v>-0.594369319359048</v>
      </c>
      <c r="G535">
        <f t="shared" si="43"/>
        <v>-0.619912725993688</v>
      </c>
    </row>
    <row r="536" spans="1:7">
      <c r="A536" s="1">
        <v>39322</v>
      </c>
      <c r="B536">
        <v>1.3664</v>
      </c>
      <c r="C536">
        <f t="shared" si="40"/>
        <v>0.0439206507316604</v>
      </c>
      <c r="D536">
        <f t="shared" si="41"/>
        <v>0.162322295078932</v>
      </c>
      <c r="E536">
        <f t="shared" si="42"/>
        <v>0.144612163322531</v>
      </c>
      <c r="F536">
        <f t="shared" si="44"/>
        <v>-0.903143767123836</v>
      </c>
      <c r="G536">
        <f t="shared" si="43"/>
        <v>-0.960180282963466</v>
      </c>
    </row>
    <row r="537" spans="1:7">
      <c r="A537" s="1">
        <v>39323</v>
      </c>
      <c r="B537">
        <v>1.3631</v>
      </c>
      <c r="C537">
        <f t="shared" si="40"/>
        <v>-0.241802645750807</v>
      </c>
      <c r="D537">
        <f t="shared" si="41"/>
        <v>0.146282967927108</v>
      </c>
      <c r="E537">
        <f t="shared" si="42"/>
        <v>0.137031884701214</v>
      </c>
      <c r="F537">
        <f t="shared" si="44"/>
        <v>-0.761258873871441</v>
      </c>
      <c r="G537">
        <f t="shared" si="43"/>
        <v>-0.780431716809686</v>
      </c>
    </row>
    <row r="538" spans="1:7">
      <c r="A538" s="1">
        <v>39324</v>
      </c>
      <c r="B538">
        <v>1.361</v>
      </c>
      <c r="C538">
        <f t="shared" si="40"/>
        <v>-0.154179392533124</v>
      </c>
      <c r="D538">
        <f t="shared" si="41"/>
        <v>0.137501523083607</v>
      </c>
      <c r="E538">
        <f t="shared" si="42"/>
        <v>0.132733397593745</v>
      </c>
      <c r="F538">
        <f t="shared" si="44"/>
        <v>-0.905620063315504</v>
      </c>
      <c r="G538">
        <f t="shared" si="43"/>
        <v>-0.920161116511383</v>
      </c>
    </row>
    <row r="539" spans="1:7">
      <c r="A539" s="1">
        <v>39325</v>
      </c>
      <c r="B539">
        <v>1.3705</v>
      </c>
      <c r="C539">
        <f t="shared" si="40"/>
        <v>0.695591309137446</v>
      </c>
      <c r="D539">
        <f t="shared" si="41"/>
        <v>0.126128499283434</v>
      </c>
      <c r="E539">
        <f t="shared" si="42"/>
        <v>0.126957957992215</v>
      </c>
      <c r="F539">
        <f t="shared" si="44"/>
        <v>0.882845699735586</v>
      </c>
      <c r="G539">
        <f t="shared" si="43"/>
        <v>0.873591675176586</v>
      </c>
    </row>
    <row r="540" spans="1:7">
      <c r="A540" s="1">
        <v>39328</v>
      </c>
      <c r="B540">
        <v>1.3632</v>
      </c>
      <c r="C540">
        <f t="shared" si="40"/>
        <v>-0.534075966778927</v>
      </c>
      <c r="D540">
        <f t="shared" si="41"/>
        <v>0.161900376289845</v>
      </c>
      <c r="E540">
        <f t="shared" si="42"/>
        <v>0.144532843980059</v>
      </c>
      <c r="F540">
        <f t="shared" si="44"/>
        <v>-0.0294837878078542</v>
      </c>
      <c r="G540">
        <f t="shared" si="43"/>
        <v>0.0196311820612155</v>
      </c>
    </row>
    <row r="541" spans="1:7">
      <c r="A541" s="1">
        <v>39329</v>
      </c>
      <c r="B541">
        <v>1.358</v>
      </c>
      <c r="C541">
        <f t="shared" si="40"/>
        <v>-0.382184795640978</v>
      </c>
      <c r="D541">
        <f t="shared" si="41"/>
        <v>0.174234052489945</v>
      </c>
      <c r="E541">
        <f t="shared" si="42"/>
        <v>0.151122730255798</v>
      </c>
      <c r="F541">
        <f t="shared" si="44"/>
        <v>-0.454514068709855</v>
      </c>
      <c r="G541">
        <f t="shared" si="43"/>
        <v>-0.461564623428067</v>
      </c>
    </row>
    <row r="542" spans="1:7">
      <c r="A542" s="1">
        <v>39330</v>
      </c>
      <c r="B542">
        <v>1.3588</v>
      </c>
      <c r="C542">
        <f t="shared" si="40"/>
        <v>0.0588928167787414</v>
      </c>
      <c r="D542">
        <f t="shared" si="41"/>
        <v>0.171417169042865</v>
      </c>
      <c r="E542">
        <f t="shared" si="42"/>
        <v>0.150358627341407</v>
      </c>
      <c r="F542">
        <f t="shared" si="44"/>
        <v>-0.871710820009393</v>
      </c>
      <c r="G542">
        <f t="shared" si="43"/>
        <v>-0.935832357029322</v>
      </c>
    </row>
    <row r="543" spans="1:7">
      <c r="A543" s="1">
        <v>39331</v>
      </c>
      <c r="B543">
        <v>1.3669</v>
      </c>
      <c r="C543">
        <f t="shared" si="40"/>
        <v>0.594344487217844</v>
      </c>
      <c r="D543">
        <f t="shared" si="41"/>
        <v>0.154622288525392</v>
      </c>
      <c r="E543">
        <f t="shared" si="42"/>
        <v>0.142510527894329</v>
      </c>
      <c r="F543">
        <f t="shared" si="44"/>
        <v>0.208899774378236</v>
      </c>
      <c r="G543">
        <f t="shared" si="43"/>
        <v>0.265196171471383</v>
      </c>
    </row>
    <row r="544" spans="1:7">
      <c r="A544" s="1">
        <v>39332</v>
      </c>
      <c r="B544">
        <v>1.3696</v>
      </c>
      <c r="C544">
        <f t="shared" si="40"/>
        <v>0.197332422887022</v>
      </c>
      <c r="D544">
        <f t="shared" si="41"/>
        <v>0.174484596621477</v>
      </c>
      <c r="E544">
        <f t="shared" si="42"/>
        <v>0.152622164694981</v>
      </c>
      <c r="F544">
        <f t="shared" si="44"/>
        <v>-0.761373381370053</v>
      </c>
      <c r="G544">
        <f t="shared" si="43"/>
        <v>-0.812324745537528</v>
      </c>
    </row>
    <row r="545" spans="1:7">
      <c r="A545" s="1">
        <v>39335</v>
      </c>
      <c r="B545">
        <v>1.3795</v>
      </c>
      <c r="C545">
        <f t="shared" si="40"/>
        <v>0.720238826986314</v>
      </c>
      <c r="D545">
        <f t="shared" si="41"/>
        <v>0.160930145471575</v>
      </c>
      <c r="E545">
        <f t="shared" si="42"/>
        <v>0.146411839069406</v>
      </c>
      <c r="F545">
        <f t="shared" si="44"/>
        <v>0.698312953102086</v>
      </c>
      <c r="G545">
        <f t="shared" si="43"/>
        <v>0.810857391172829</v>
      </c>
    </row>
    <row r="546" spans="1:7">
      <c r="A546" s="1">
        <v>39336</v>
      </c>
      <c r="B546">
        <v>1.3824</v>
      </c>
      <c r="C546">
        <f t="shared" si="40"/>
        <v>0.210000439245042</v>
      </c>
      <c r="D546">
        <f t="shared" si="41"/>
        <v>0.19671152771428</v>
      </c>
      <c r="E546">
        <f t="shared" si="42"/>
        <v>0.164564327120172</v>
      </c>
      <c r="F546">
        <f t="shared" si="44"/>
        <v>-0.700914931102359</v>
      </c>
      <c r="G546">
        <f t="shared" si="43"/>
        <v>-0.768236152093022</v>
      </c>
    </row>
    <row r="547" spans="1:7">
      <c r="A547" s="1">
        <v>39337</v>
      </c>
      <c r="B547">
        <v>1.3885</v>
      </c>
      <c r="C547">
        <f t="shared" si="40"/>
        <v>0.440290869706302</v>
      </c>
      <c r="D547">
        <f t="shared" si="41"/>
        <v>0.181450393391163</v>
      </c>
      <c r="E547">
        <f t="shared" si="42"/>
        <v>0.157895476717118</v>
      </c>
      <c r="F547">
        <f t="shared" si="44"/>
        <v>-0.319201783049009</v>
      </c>
      <c r="G547">
        <f t="shared" si="43"/>
        <v>-0.30903638735889</v>
      </c>
    </row>
    <row r="548" spans="1:7">
      <c r="A548" s="1">
        <v>39338</v>
      </c>
      <c r="B548">
        <v>1.3897</v>
      </c>
      <c r="C548">
        <f t="shared" si="40"/>
        <v>0.0863868745681943</v>
      </c>
      <c r="D548">
        <f t="shared" si="41"/>
        <v>0.18269095904672</v>
      </c>
      <c r="E548">
        <f t="shared" si="42"/>
        <v>0.159114550611427</v>
      </c>
      <c r="F548">
        <f t="shared" si="44"/>
        <v>-0.829555290305769</v>
      </c>
      <c r="G548">
        <f t="shared" si="43"/>
        <v>-0.895614755728703</v>
      </c>
    </row>
    <row r="549" spans="1:7">
      <c r="A549" s="1">
        <v>39339</v>
      </c>
      <c r="B549">
        <v>1.386</v>
      </c>
      <c r="C549">
        <f t="shared" si="40"/>
        <v>-0.26659957426878</v>
      </c>
      <c r="D549">
        <f t="shared" si="41"/>
        <v>0.165168132351814</v>
      </c>
      <c r="E549">
        <f t="shared" si="42"/>
        <v>0.150940812179625</v>
      </c>
      <c r="F549">
        <f t="shared" si="44"/>
        <v>-0.685235118149925</v>
      </c>
      <c r="G549">
        <f t="shared" si="43"/>
        <v>-0.709992674512249</v>
      </c>
    </row>
    <row r="550" spans="1:7">
      <c r="A550" s="1">
        <v>39342</v>
      </c>
      <c r="B550">
        <v>1.3877</v>
      </c>
      <c r="C550">
        <f t="shared" si="40"/>
        <v>0.122579962711626</v>
      </c>
      <c r="D550">
        <f t="shared" si="41"/>
        <v>0.155758852416662</v>
      </c>
      <c r="E550">
        <f t="shared" si="42"/>
        <v>0.146438130098862</v>
      </c>
      <c r="F550">
        <f t="shared" si="44"/>
        <v>-0.881488814452673</v>
      </c>
      <c r="G550">
        <f t="shared" si="43"/>
        <v>-0.9092717078968</v>
      </c>
    </row>
    <row r="551" spans="1:7">
      <c r="A551" s="1">
        <v>39343</v>
      </c>
      <c r="B551">
        <v>1.3867</v>
      </c>
      <c r="C551">
        <f t="shared" si="40"/>
        <v>-0.0720876617146155</v>
      </c>
      <c r="D551">
        <f t="shared" si="41"/>
        <v>0.141685551900834</v>
      </c>
      <c r="E551">
        <f t="shared" si="42"/>
        <v>0.139403134655849</v>
      </c>
      <c r="F551">
        <f t="shared" si="44"/>
        <v>-0.958733944224358</v>
      </c>
      <c r="G551">
        <f t="shared" si="43"/>
        <v>-0.966553787245846</v>
      </c>
    </row>
    <row r="552" spans="1:7">
      <c r="A552" s="1">
        <v>39344</v>
      </c>
      <c r="B552">
        <v>1.3975</v>
      </c>
      <c r="C552">
        <f t="shared" si="40"/>
        <v>0.775810226943564</v>
      </c>
      <c r="D552">
        <f t="shared" si="41"/>
        <v>0.128036659807899</v>
      </c>
      <c r="E552">
        <f t="shared" si="42"/>
        <v>0.132298778125072</v>
      </c>
      <c r="F552">
        <f t="shared" si="44"/>
        <v>1.32270714256149</v>
      </c>
      <c r="G552">
        <f t="shared" si="43"/>
        <v>1.26335924701729</v>
      </c>
    </row>
    <row r="553" spans="1:7">
      <c r="A553" s="1">
        <v>39345</v>
      </c>
      <c r="B553">
        <v>1.403</v>
      </c>
      <c r="C553">
        <f t="shared" si="40"/>
        <v>0.392787507320676</v>
      </c>
      <c r="D553">
        <f t="shared" si="41"/>
        <v>0.175421144650131</v>
      </c>
      <c r="E553">
        <f t="shared" si="42"/>
        <v>0.155454926849079</v>
      </c>
      <c r="F553">
        <f t="shared" si="44"/>
        <v>-0.430535309704201</v>
      </c>
      <c r="G553">
        <f t="shared" si="43"/>
        <v>-0.434472203589968</v>
      </c>
    </row>
    <row r="554" spans="1:7">
      <c r="A554" s="1">
        <v>39346</v>
      </c>
      <c r="B554">
        <v>1.4049</v>
      </c>
      <c r="C554">
        <f t="shared" si="40"/>
        <v>0.135332475514493</v>
      </c>
      <c r="D554">
        <f t="shared" si="41"/>
        <v>0.173307232775837</v>
      </c>
      <c r="E554">
        <f t="shared" si="42"/>
        <v>0.154841732533494</v>
      </c>
      <c r="F554">
        <f t="shared" si="44"/>
        <v>-0.823505335695739</v>
      </c>
      <c r="G554">
        <f t="shared" si="43"/>
        <v>-0.873535240113495</v>
      </c>
    </row>
    <row r="555" spans="1:7">
      <c r="A555" s="1">
        <v>39349</v>
      </c>
      <c r="B555">
        <v>1.4113</v>
      </c>
      <c r="C555">
        <f t="shared" si="40"/>
        <v>0.454513956235554</v>
      </c>
      <c r="D555">
        <f t="shared" si="41"/>
        <v>0.157807997391142</v>
      </c>
      <c r="E555">
        <f t="shared" si="42"/>
        <v>0.147466972527928</v>
      </c>
      <c r="F555">
        <f t="shared" si="44"/>
        <v>-0.26864922617658</v>
      </c>
      <c r="G555">
        <f t="shared" si="43"/>
        <v>-0.256637542671721</v>
      </c>
    </row>
    <row r="556" spans="1:7">
      <c r="A556" s="1">
        <v>39350</v>
      </c>
      <c r="B556">
        <v>1.4106</v>
      </c>
      <c r="C556">
        <f t="shared" si="40"/>
        <v>-0.0496119645882439</v>
      </c>
      <c r="D556">
        <f t="shared" si="41"/>
        <v>0.162685491293317</v>
      </c>
      <c r="E556">
        <f t="shared" si="42"/>
        <v>0.149948100996897</v>
      </c>
      <c r="F556">
        <f t="shared" si="44"/>
        <v>-0.90040348122344</v>
      </c>
      <c r="G556">
        <f t="shared" si="43"/>
        <v>-0.940525689272128</v>
      </c>
    </row>
    <row r="557" spans="1:7">
      <c r="A557" s="1">
        <v>39351</v>
      </c>
      <c r="B557">
        <v>1.4127</v>
      </c>
      <c r="C557">
        <f t="shared" si="40"/>
        <v>0.148762114353975</v>
      </c>
      <c r="D557">
        <f t="shared" si="41"/>
        <v>0.146663076867016</v>
      </c>
      <c r="E557">
        <f t="shared" si="42"/>
        <v>0.142074282288599</v>
      </c>
      <c r="F557">
        <f t="shared" si="44"/>
        <v>-0.884363061871353</v>
      </c>
      <c r="G557">
        <f t="shared" si="43"/>
        <v>-0.897820241076332</v>
      </c>
    </row>
    <row r="558" spans="1:7">
      <c r="A558" s="1">
        <v>39352</v>
      </c>
      <c r="B558">
        <v>1.418</v>
      </c>
      <c r="C558">
        <f t="shared" si="40"/>
        <v>0.374466117445406</v>
      </c>
      <c r="D558">
        <f t="shared" si="41"/>
        <v>0.134209785847021</v>
      </c>
      <c r="E558">
        <f t="shared" si="42"/>
        <v>0.135656333684636</v>
      </c>
      <c r="F558">
        <f t="shared" si="44"/>
        <v>-0.481766296333895</v>
      </c>
      <c r="G558">
        <f t="shared" si="43"/>
        <v>-0.481976623383635</v>
      </c>
    </row>
    <row r="559" spans="1:7">
      <c r="A559" s="1">
        <v>39353</v>
      </c>
      <c r="B559">
        <v>1.4179</v>
      </c>
      <c r="C559">
        <f t="shared" si="40"/>
        <v>-0.00705243485605497</v>
      </c>
      <c r="D559">
        <f t="shared" si="41"/>
        <v>0.134811294573782</v>
      </c>
      <c r="E559">
        <f t="shared" si="42"/>
        <v>0.13552819731929</v>
      </c>
      <c r="F559">
        <f t="shared" si="44"/>
        <v>-1.00175517982522</v>
      </c>
      <c r="G559">
        <f t="shared" si="43"/>
        <v>-0.999104288426428</v>
      </c>
    </row>
    <row r="560" spans="1:7">
      <c r="A560" s="1">
        <v>39356</v>
      </c>
      <c r="B560">
        <v>1.4232</v>
      </c>
      <c r="C560">
        <f t="shared" si="40"/>
        <v>0.373095360811319</v>
      </c>
      <c r="D560">
        <f t="shared" si="41"/>
        <v>0.121335138800144</v>
      </c>
      <c r="E560">
        <f t="shared" si="42"/>
        <v>0.128398992322002</v>
      </c>
      <c r="F560">
        <f t="shared" si="44"/>
        <v>-0.4809809609374</v>
      </c>
      <c r="G560">
        <f t="shared" si="43"/>
        <v>-0.484245461687617</v>
      </c>
    </row>
    <row r="561" spans="1:7">
      <c r="A561" s="1">
        <v>39357</v>
      </c>
      <c r="B561">
        <v>1.4165</v>
      </c>
      <c r="C561">
        <f t="shared" si="40"/>
        <v>-0.471881708105415</v>
      </c>
      <c r="D561">
        <f t="shared" si="41"/>
        <v>0.123121639746022</v>
      </c>
      <c r="E561">
        <f t="shared" si="42"/>
        <v>0.128655060195629</v>
      </c>
      <c r="F561">
        <f t="shared" si="44"/>
        <v>-0.143013373090237</v>
      </c>
      <c r="G561">
        <f t="shared" si="43"/>
        <v>-0.159925095526676</v>
      </c>
    </row>
    <row r="562" spans="1:7">
      <c r="A562" s="1">
        <v>39358</v>
      </c>
      <c r="B562">
        <v>1.4195</v>
      </c>
      <c r="C562">
        <f t="shared" si="40"/>
        <v>0.211565664245457</v>
      </c>
      <c r="D562">
        <f t="shared" si="41"/>
        <v>0.133076710415869</v>
      </c>
      <c r="E562">
        <f t="shared" si="42"/>
        <v>0.133069373906115</v>
      </c>
      <c r="F562">
        <f t="shared" si="44"/>
        <v>-0.840240980543098</v>
      </c>
      <c r="G562">
        <f t="shared" si="43"/>
        <v>-0.840259274347418</v>
      </c>
    </row>
    <row r="563" spans="1:7">
      <c r="A563" s="1">
        <v>39359</v>
      </c>
      <c r="B563">
        <v>1.4109</v>
      </c>
      <c r="C563">
        <f t="shared" si="40"/>
        <v>-0.607689829391383</v>
      </c>
      <c r="D563">
        <f t="shared" si="41"/>
        <v>0.124245042403044</v>
      </c>
      <c r="E563">
        <f t="shared" si="42"/>
        <v>0.128323212986129</v>
      </c>
      <c r="F563">
        <f t="shared" si="44"/>
        <v>0.443373638677446</v>
      </c>
      <c r="G563">
        <f t="shared" si="43"/>
        <v>0.412292164646246</v>
      </c>
    </row>
    <row r="564" spans="1:7">
      <c r="A564" s="1">
        <v>39360</v>
      </c>
      <c r="B564">
        <v>1.4136</v>
      </c>
      <c r="C564">
        <f t="shared" si="40"/>
        <v>0.191184338637452</v>
      </c>
      <c r="D564">
        <f t="shared" si="41"/>
        <v>0.148749231037312</v>
      </c>
      <c r="E564">
        <f t="shared" si="42"/>
        <v>0.140088166644248</v>
      </c>
      <c r="F564">
        <f t="shared" si="44"/>
        <v>-0.829884045583538</v>
      </c>
      <c r="G564">
        <f t="shared" si="43"/>
        <v>-0.852282906702272</v>
      </c>
    </row>
    <row r="565" spans="1:7">
      <c r="A565" s="1">
        <v>39363</v>
      </c>
      <c r="B565">
        <v>1.4089</v>
      </c>
      <c r="C565">
        <f t="shared" si="40"/>
        <v>-0.333038394625561</v>
      </c>
      <c r="D565">
        <f t="shared" si="41"/>
        <v>0.137529453067605</v>
      </c>
      <c r="E565">
        <f t="shared" si="42"/>
        <v>0.134510449212605</v>
      </c>
      <c r="F565">
        <f t="shared" si="44"/>
        <v>-0.588719248439044</v>
      </c>
      <c r="G565">
        <f t="shared" si="43"/>
        <v>-0.590766897241649</v>
      </c>
    </row>
    <row r="566" spans="1:7">
      <c r="A566" s="1">
        <v>39364</v>
      </c>
      <c r="B566">
        <v>1.4037</v>
      </c>
      <c r="C566">
        <f t="shared" si="40"/>
        <v>-0.369765051895081</v>
      </c>
      <c r="D566">
        <f t="shared" si="41"/>
        <v>0.134867964990322</v>
      </c>
      <c r="E566">
        <f t="shared" si="42"/>
        <v>0.132985550874587</v>
      </c>
      <c r="F566">
        <f t="shared" si="44"/>
        <v>-0.494840442164251</v>
      </c>
      <c r="G566">
        <f t="shared" si="43"/>
        <v>-0.494693303779548</v>
      </c>
    </row>
    <row r="567" spans="1:7">
      <c r="A567" s="1">
        <v>39365</v>
      </c>
      <c r="B567">
        <v>1.4146</v>
      </c>
      <c r="C567">
        <f t="shared" si="40"/>
        <v>0.773519806160943</v>
      </c>
      <c r="D567">
        <f t="shared" si="41"/>
        <v>0.135053787851587</v>
      </c>
      <c r="E567">
        <f t="shared" si="42"/>
        <v>0.132842727502261</v>
      </c>
      <c r="F567">
        <f t="shared" si="44"/>
        <v>1.21412408199817</v>
      </c>
      <c r="G567">
        <f t="shared" si="43"/>
        <v>1.24274012477309</v>
      </c>
    </row>
    <row r="568" spans="1:7">
      <c r="A568" s="1">
        <v>39366</v>
      </c>
      <c r="B568">
        <v>1.4199</v>
      </c>
      <c r="C568">
        <f t="shared" si="40"/>
        <v>0.373964097842226</v>
      </c>
      <c r="D568">
        <f t="shared" si="41"/>
        <v>0.181381698118754</v>
      </c>
      <c r="E568">
        <f t="shared" si="42"/>
        <v>0.155788808378288</v>
      </c>
      <c r="F568">
        <f t="shared" si="44"/>
        <v>-0.468065186499431</v>
      </c>
      <c r="G568">
        <f t="shared" si="43"/>
        <v>-0.480784907840612</v>
      </c>
    </row>
    <row r="569" spans="1:7">
      <c r="A569" s="1">
        <v>39367</v>
      </c>
      <c r="B569">
        <v>1.4173</v>
      </c>
      <c r="C569">
        <f t="shared" si="40"/>
        <v>-0.18327934074522</v>
      </c>
      <c r="D569">
        <f t="shared" si="41"/>
        <v>0.177228442954374</v>
      </c>
      <c r="E569">
        <f t="shared" si="42"/>
        <v>0.154433937199338</v>
      </c>
      <c r="F569">
        <f t="shared" si="44"/>
        <v>-0.770389456668107</v>
      </c>
      <c r="G569">
        <f t="shared" si="43"/>
        <v>-0.825238166395164</v>
      </c>
    </row>
    <row r="570" spans="1:7">
      <c r="A570" s="1">
        <v>39370</v>
      </c>
      <c r="B570">
        <v>1.4226</v>
      </c>
      <c r="C570">
        <f t="shared" si="40"/>
        <v>0.373253012655517</v>
      </c>
      <c r="D570">
        <f t="shared" si="41"/>
        <v>0.162864730333337</v>
      </c>
      <c r="E570">
        <f t="shared" si="42"/>
        <v>0.147847466804578</v>
      </c>
      <c r="F570">
        <f t="shared" si="44"/>
        <v>-0.479707453009512</v>
      </c>
      <c r="G570">
        <f t="shared" si="43"/>
        <v>-0.484633216074884</v>
      </c>
    </row>
    <row r="571" spans="1:7">
      <c r="A571" s="1">
        <v>39371</v>
      </c>
      <c r="B571">
        <v>1.415</v>
      </c>
      <c r="C571">
        <f t="shared" si="40"/>
        <v>-0.535665222207687</v>
      </c>
      <c r="D571">
        <f t="shared" si="41"/>
        <v>0.160510038445645</v>
      </c>
      <c r="E571">
        <f t="shared" si="42"/>
        <v>0.146942509369124</v>
      </c>
      <c r="F571">
        <f t="shared" si="44"/>
        <v>-0.0208698485927262</v>
      </c>
      <c r="G571">
        <f t="shared" si="43"/>
        <v>0.0175018898711966</v>
      </c>
    </row>
    <row r="572" spans="1:7">
      <c r="A572" s="1">
        <v>39372</v>
      </c>
      <c r="B572">
        <v>1.42</v>
      </c>
      <c r="C572">
        <f t="shared" si="40"/>
        <v>0.352734051796844</v>
      </c>
      <c r="D572">
        <f t="shared" si="41"/>
        <v>0.173152757629362</v>
      </c>
      <c r="E572">
        <f t="shared" si="42"/>
        <v>0.153472820321118</v>
      </c>
      <c r="F572">
        <f t="shared" si="44"/>
        <v>-0.517508618500396</v>
      </c>
      <c r="G572">
        <f t="shared" si="43"/>
        <v>-0.531762978336157</v>
      </c>
    </row>
    <row r="573" spans="1:7">
      <c r="A573" s="1">
        <v>39373</v>
      </c>
      <c r="B573">
        <v>1.4299</v>
      </c>
      <c r="C573">
        <f t="shared" si="40"/>
        <v>0.694764014349512</v>
      </c>
      <c r="D573">
        <f t="shared" si="41"/>
        <v>0.168279612996127</v>
      </c>
      <c r="E573">
        <f t="shared" si="42"/>
        <v>0.151485516666701</v>
      </c>
      <c r="F573">
        <f t="shared" si="44"/>
        <v>0.54314711205147</v>
      </c>
      <c r="G573">
        <f t="shared" si="43"/>
        <v>0.649579204816705</v>
      </c>
    </row>
    <row r="574" spans="1:7">
      <c r="A574" s="1">
        <v>39374</v>
      </c>
      <c r="B574">
        <v>1.4288</v>
      </c>
      <c r="C574">
        <f t="shared" si="40"/>
        <v>-0.0769580616566925</v>
      </c>
      <c r="D574">
        <f t="shared" si="41"/>
        <v>0.199721355260019</v>
      </c>
      <c r="E574">
        <f t="shared" si="42"/>
        <v>0.167531237448452</v>
      </c>
      <c r="F574">
        <f t="shared" si="44"/>
        <v>-0.790589038302008</v>
      </c>
      <c r="G574">
        <f t="shared" si="43"/>
        <v>-0.87561678926852</v>
      </c>
    </row>
    <row r="575" spans="1:7">
      <c r="A575" s="1">
        <v>39377</v>
      </c>
      <c r="B575">
        <v>1.4166</v>
      </c>
      <c r="C575">
        <f t="shared" si="40"/>
        <v>-0.857529680271233</v>
      </c>
      <c r="D575">
        <f t="shared" si="41"/>
        <v>0.180341474059413</v>
      </c>
      <c r="E575">
        <f t="shared" si="42"/>
        <v>0.158775490364242</v>
      </c>
      <c r="F575">
        <f t="shared" si="44"/>
        <v>1.18233943769639</v>
      </c>
      <c r="G575">
        <f t="shared" si="43"/>
        <v>1.39558164504356</v>
      </c>
    </row>
    <row r="576" spans="1:7">
      <c r="A576" s="1">
        <v>39378</v>
      </c>
      <c r="B576">
        <v>1.4254</v>
      </c>
      <c r="C576">
        <f t="shared" si="40"/>
        <v>0.619284174824808</v>
      </c>
      <c r="D576">
        <f t="shared" si="41"/>
        <v>0.23584304190808</v>
      </c>
      <c r="E576">
        <f t="shared" si="42"/>
        <v>0.187016818569692</v>
      </c>
      <c r="F576">
        <f t="shared" si="44"/>
        <v>0.090773674253612</v>
      </c>
      <c r="G576">
        <f t="shared" si="43"/>
        <v>0.187064950716644</v>
      </c>
    </row>
    <row r="577" spans="1:7">
      <c r="A577" s="1">
        <v>39379</v>
      </c>
      <c r="B577">
        <v>1.423</v>
      </c>
      <c r="C577">
        <f t="shared" si="40"/>
        <v>-0.168515697791793</v>
      </c>
      <c r="D577">
        <f t="shared" si="41"/>
        <v>0.250610026636116</v>
      </c>
      <c r="E577">
        <f t="shared" si="42"/>
        <v>0.195971453914933</v>
      </c>
      <c r="F577">
        <f t="shared" si="44"/>
        <v>-0.635271781302955</v>
      </c>
      <c r="G577">
        <f t="shared" si="43"/>
        <v>-0.742439879386235</v>
      </c>
    </row>
    <row r="578" spans="1:7">
      <c r="A578" s="1">
        <v>39380</v>
      </c>
      <c r="B578">
        <v>1.4309</v>
      </c>
      <c r="C578">
        <f t="shared" si="40"/>
        <v>0.553629782283692</v>
      </c>
      <c r="D578">
        <f t="shared" si="41"/>
        <v>0.22838877801273</v>
      </c>
      <c r="E578">
        <f t="shared" si="42"/>
        <v>0.186633043700149</v>
      </c>
      <c r="F578">
        <f t="shared" si="44"/>
        <v>-0.0673350252101629</v>
      </c>
      <c r="G578">
        <f t="shared" si="43"/>
        <v>-0.0181595118836927</v>
      </c>
    </row>
    <row r="579" spans="1:7">
      <c r="A579" s="1">
        <v>39381</v>
      </c>
      <c r="B579">
        <v>1.4384</v>
      </c>
      <c r="C579">
        <f t="shared" si="40"/>
        <v>0.522776780466644</v>
      </c>
      <c r="D579">
        <f t="shared" si="41"/>
        <v>0.236200493794606</v>
      </c>
      <c r="E579">
        <f t="shared" si="42"/>
        <v>0.191760357869715</v>
      </c>
      <c r="F579">
        <f t="shared" si="44"/>
        <v>-0.143012606228048</v>
      </c>
      <c r="G579">
        <f t="shared" si="43"/>
        <v>-0.113157800542526</v>
      </c>
    </row>
    <row r="580" spans="1:7">
      <c r="A580" s="1">
        <v>39384</v>
      </c>
      <c r="B580">
        <v>1.4391</v>
      </c>
      <c r="C580">
        <f t="shared" ref="C580:C643" si="45">100*LN(B580/B579)</f>
        <v>0.0486533458772243</v>
      </c>
      <c r="D580">
        <f t="shared" si="41"/>
        <v>0.239910000634652</v>
      </c>
      <c r="E580">
        <f t="shared" si="42"/>
        <v>0.194919514507285</v>
      </c>
      <c r="F580">
        <f t="shared" si="44"/>
        <v>-0.708812303178439</v>
      </c>
      <c r="G580">
        <f t="shared" si="43"/>
        <v>-0.811512159203225</v>
      </c>
    </row>
    <row r="581" spans="1:7">
      <c r="A581" s="1">
        <v>39385</v>
      </c>
      <c r="B581">
        <v>1.4407</v>
      </c>
      <c r="C581">
        <f t="shared" si="45"/>
        <v>0.111118839129931</v>
      </c>
      <c r="D581">
        <f t="shared" ref="D581:D644" si="46">$J$1*D580+(1-$J$1)*C580^2</f>
        <v>0.216155715377692</v>
      </c>
      <c r="E581">
        <f t="shared" ref="E581:E644" si="47">$K$1+$K$2*C580^2+$K$3*E580</f>
        <v>0.184342701040101</v>
      </c>
      <c r="F581">
        <f t="shared" si="44"/>
        <v>-0.737316767119644</v>
      </c>
      <c r="G581">
        <f t="shared" ref="G581:G644" si="48">0.5*(LN(E581)+C581^2/E581)</f>
        <v>-0.811989042314097</v>
      </c>
    </row>
    <row r="582" spans="1:7">
      <c r="A582" s="1">
        <v>39386</v>
      </c>
      <c r="B582">
        <v>1.4447</v>
      </c>
      <c r="C582">
        <f t="shared" si="45"/>
        <v>0.277258096790841</v>
      </c>
      <c r="D582">
        <f t="shared" si="46"/>
        <v>0.195774883480881</v>
      </c>
      <c r="E582">
        <f t="shared" si="47"/>
        <v>0.174899508798174</v>
      </c>
      <c r="F582">
        <f t="shared" si="44"/>
        <v>-0.619067249823112</v>
      </c>
      <c r="G582">
        <f t="shared" si="48"/>
        <v>-0.652011223415301</v>
      </c>
    </row>
    <row r="583" spans="1:7">
      <c r="A583" s="1">
        <v>39387</v>
      </c>
      <c r="B583">
        <v>1.4423</v>
      </c>
      <c r="C583">
        <f t="shared" si="45"/>
        <v>-0.16626259458713</v>
      </c>
      <c r="D583">
        <f t="shared" si="46"/>
        <v>0.183884600356401</v>
      </c>
      <c r="E583">
        <f t="shared" si="47"/>
        <v>0.169249140882087</v>
      </c>
      <c r="F583">
        <f t="shared" ref="F583:F646" si="49">0.5*(LN(D583)+C583^2/D583)</f>
        <v>-0.771558775728699</v>
      </c>
      <c r="G583">
        <f t="shared" si="48"/>
        <v>-0.806527347383932</v>
      </c>
    </row>
    <row r="584" spans="1:7">
      <c r="A584" s="1">
        <v>39388</v>
      </c>
      <c r="B584">
        <v>1.4479</v>
      </c>
      <c r="C584">
        <f t="shared" si="45"/>
        <v>0.387516919791153</v>
      </c>
      <c r="D584">
        <f t="shared" si="46"/>
        <v>0.168260465356645</v>
      </c>
      <c r="E584">
        <f t="shared" si="47"/>
        <v>0.161476354947104</v>
      </c>
      <c r="F584">
        <f t="shared" si="49"/>
        <v>-0.444880274046642</v>
      </c>
      <c r="G584">
        <f t="shared" si="48"/>
        <v>-0.44670957061916</v>
      </c>
    </row>
    <row r="585" spans="1:7">
      <c r="A585" s="1">
        <v>39391</v>
      </c>
      <c r="B585">
        <v>1.4488</v>
      </c>
      <c r="C585">
        <f t="shared" si="45"/>
        <v>0.0621396781827606</v>
      </c>
      <c r="D585">
        <f t="shared" si="46"/>
        <v>0.166451355133423</v>
      </c>
      <c r="E585">
        <f t="shared" si="47"/>
        <v>0.160296241806499</v>
      </c>
      <c r="F585">
        <f t="shared" si="49"/>
        <v>-0.884927083595992</v>
      </c>
      <c r="G585">
        <f t="shared" si="48"/>
        <v>-0.903321446247985</v>
      </c>
    </row>
    <row r="586" spans="1:7">
      <c r="A586" s="1">
        <v>39392</v>
      </c>
      <c r="B586">
        <v>1.4547</v>
      </c>
      <c r="C586">
        <f t="shared" si="45"/>
        <v>0.406406621021258</v>
      </c>
      <c r="D586">
        <f t="shared" si="46"/>
        <v>0.150192353580546</v>
      </c>
      <c r="E586">
        <f t="shared" si="47"/>
        <v>0.151871534278342</v>
      </c>
      <c r="F586">
        <f t="shared" si="49"/>
        <v>-0.398069855865855</v>
      </c>
      <c r="G586">
        <f t="shared" si="48"/>
        <v>-0.39859023052091</v>
      </c>
    </row>
    <row r="587" spans="1:7">
      <c r="A587" s="1">
        <v>39393</v>
      </c>
      <c r="B587">
        <v>1.4722</v>
      </c>
      <c r="C587">
        <f t="shared" si="45"/>
        <v>1.19581868451893</v>
      </c>
      <c r="D587">
        <f t="shared" si="46"/>
        <v>0.151689752383484</v>
      </c>
      <c r="E587">
        <f t="shared" si="47"/>
        <v>0.152017559302137</v>
      </c>
      <c r="F587">
        <f t="shared" si="49"/>
        <v>3.77055101584026</v>
      </c>
      <c r="G587">
        <f t="shared" si="48"/>
        <v>3.76146627089715</v>
      </c>
    </row>
    <row r="588" spans="1:7">
      <c r="A588" s="1">
        <v>39394</v>
      </c>
      <c r="B588">
        <v>1.4666</v>
      </c>
      <c r="C588">
        <f t="shared" si="45"/>
        <v>-0.381108396490648</v>
      </c>
      <c r="D588">
        <f t="shared" si="46"/>
        <v>0.279519009769592</v>
      </c>
      <c r="E588">
        <f t="shared" si="47"/>
        <v>0.215395622056238</v>
      </c>
      <c r="F588">
        <f t="shared" si="49"/>
        <v>-0.377532591321753</v>
      </c>
      <c r="G588">
        <f t="shared" si="48"/>
        <v>-0.430483983261543</v>
      </c>
    </row>
    <row r="589" spans="1:7">
      <c r="A589" s="1">
        <v>39395</v>
      </c>
      <c r="B589">
        <v>1.4683</v>
      </c>
      <c r="C589">
        <f t="shared" si="45"/>
        <v>0.115847230919279</v>
      </c>
      <c r="D589">
        <f t="shared" si="46"/>
        <v>0.2660914697802</v>
      </c>
      <c r="E589">
        <f t="shared" si="47"/>
        <v>0.210734065226647</v>
      </c>
      <c r="F589">
        <f t="shared" si="49"/>
        <v>-0.636739594871602</v>
      </c>
      <c r="G589">
        <f t="shared" si="48"/>
        <v>-0.746736690182835</v>
      </c>
    </row>
    <row r="590" spans="1:7">
      <c r="A590" s="1">
        <v>39398</v>
      </c>
      <c r="B590">
        <v>1.4579</v>
      </c>
      <c r="C590">
        <f t="shared" si="45"/>
        <v>-0.710822485811557</v>
      </c>
      <c r="D590">
        <f t="shared" si="46"/>
        <v>0.240824380893347</v>
      </c>
      <c r="E590">
        <f t="shared" si="47"/>
        <v>0.199761050358632</v>
      </c>
      <c r="F590">
        <f t="shared" si="49"/>
        <v>0.337195901925383</v>
      </c>
      <c r="G590">
        <f t="shared" si="48"/>
        <v>0.459365805518234</v>
      </c>
    </row>
    <row r="591" spans="1:7">
      <c r="A591" s="1">
        <v>39399</v>
      </c>
      <c r="B591">
        <v>1.4607</v>
      </c>
      <c r="C591">
        <f t="shared" si="45"/>
        <v>0.191872874598887</v>
      </c>
      <c r="D591">
        <f t="shared" si="46"/>
        <v>0.267268803437544</v>
      </c>
      <c r="E591">
        <f t="shared" si="47"/>
        <v>0.21403881765388</v>
      </c>
      <c r="F591">
        <f t="shared" si="49"/>
        <v>-0.590877202358479</v>
      </c>
      <c r="G591">
        <f t="shared" si="48"/>
        <v>-0.684797722145619</v>
      </c>
    </row>
    <row r="592" spans="1:7">
      <c r="A592" s="1">
        <v>39400</v>
      </c>
      <c r="B592">
        <v>1.47</v>
      </c>
      <c r="C592">
        <f t="shared" si="45"/>
        <v>0.634662791601706</v>
      </c>
      <c r="D592">
        <f t="shared" si="46"/>
        <v>0.244223443094474</v>
      </c>
      <c r="E592">
        <f t="shared" si="47"/>
        <v>0.204037248594989</v>
      </c>
      <c r="F592">
        <f t="shared" si="49"/>
        <v>0.119812366573136</v>
      </c>
      <c r="G592">
        <f t="shared" si="48"/>
        <v>0.192340618515769</v>
      </c>
    </row>
    <row r="593" spans="1:7">
      <c r="A593" s="1">
        <v>39401</v>
      </c>
      <c r="B593">
        <v>1.4639</v>
      </c>
      <c r="C593">
        <f t="shared" si="45"/>
        <v>-0.415829359541586</v>
      </c>
      <c r="D593">
        <f t="shared" si="46"/>
        <v>0.260080784689393</v>
      </c>
      <c r="E593">
        <f t="shared" si="47"/>
        <v>0.212934856631473</v>
      </c>
      <c r="F593">
        <f t="shared" si="49"/>
        <v>-0.340957749174335</v>
      </c>
      <c r="G593">
        <f t="shared" si="48"/>
        <v>-0.367358780367406</v>
      </c>
    </row>
    <row r="594" spans="1:7">
      <c r="A594" s="1">
        <v>39402</v>
      </c>
      <c r="B594">
        <v>1.4651</v>
      </c>
      <c r="C594">
        <f t="shared" si="45"/>
        <v>0.0819392329901381</v>
      </c>
      <c r="D594">
        <f t="shared" si="46"/>
        <v>0.251364111846131</v>
      </c>
      <c r="E594">
        <f t="shared" si="47"/>
        <v>0.209804468046423</v>
      </c>
      <c r="F594">
        <f t="shared" si="49"/>
        <v>-0.677071169267917</v>
      </c>
      <c r="G594">
        <f t="shared" si="48"/>
        <v>-0.764788940418235</v>
      </c>
    </row>
    <row r="595" spans="1:7">
      <c r="A595" s="1">
        <v>39405</v>
      </c>
      <c r="B595">
        <v>1.4654</v>
      </c>
      <c r="C595">
        <f t="shared" si="45"/>
        <v>0.0204743218596118</v>
      </c>
      <c r="D595">
        <f t="shared" si="46"/>
        <v>0.226899104451819</v>
      </c>
      <c r="E595">
        <f t="shared" si="47"/>
        <v>0.198551901858788</v>
      </c>
      <c r="F595">
        <f t="shared" si="49"/>
        <v>-0.740701163165833</v>
      </c>
      <c r="G595">
        <f t="shared" si="48"/>
        <v>-0.807296733379492</v>
      </c>
    </row>
    <row r="596" spans="1:7">
      <c r="A596" s="1">
        <v>39406</v>
      </c>
      <c r="B596">
        <v>1.4785</v>
      </c>
      <c r="C596">
        <f t="shared" si="45"/>
        <v>0.889981756666833</v>
      </c>
      <c r="D596">
        <f t="shared" si="46"/>
        <v>0.204251113792198</v>
      </c>
      <c r="E596">
        <f t="shared" si="47"/>
        <v>0.187659747640041</v>
      </c>
      <c r="F596">
        <f t="shared" si="49"/>
        <v>1.14475267548804</v>
      </c>
      <c r="G596">
        <f t="shared" si="48"/>
        <v>1.27381964913861</v>
      </c>
    </row>
    <row r="597" spans="1:7">
      <c r="A597" s="1">
        <v>39407</v>
      </c>
      <c r="B597">
        <v>1.4814</v>
      </c>
      <c r="C597">
        <f t="shared" si="45"/>
        <v>0.195952628665701</v>
      </c>
      <c r="D597">
        <f t="shared" si="46"/>
        <v>0.263032755132956</v>
      </c>
      <c r="E597">
        <f t="shared" si="47"/>
        <v>0.217003539141628</v>
      </c>
      <c r="F597">
        <f t="shared" si="49"/>
        <v>-0.594748524179457</v>
      </c>
      <c r="G597">
        <f t="shared" si="48"/>
        <v>-0.675448903816306</v>
      </c>
    </row>
    <row r="598" spans="1:7">
      <c r="A598" s="1">
        <v>39408</v>
      </c>
      <c r="B598">
        <v>1.4829</v>
      </c>
      <c r="C598">
        <f t="shared" si="45"/>
        <v>0.101204340183441</v>
      </c>
      <c r="D598">
        <f t="shared" si="46"/>
        <v>0.240569222887761</v>
      </c>
      <c r="E598">
        <f t="shared" si="47"/>
        <v>0.20690319842718</v>
      </c>
      <c r="F598">
        <f t="shared" si="49"/>
        <v>-0.691086026712139</v>
      </c>
      <c r="G598">
        <f t="shared" si="48"/>
        <v>-0.76300064329017</v>
      </c>
    </row>
    <row r="599" spans="1:7">
      <c r="A599" s="1">
        <v>39409</v>
      </c>
      <c r="B599">
        <v>1.4809</v>
      </c>
      <c r="C599">
        <f t="shared" si="45"/>
        <v>-0.134961893756566</v>
      </c>
      <c r="D599">
        <f t="shared" si="46"/>
        <v>0.217536532446181</v>
      </c>
      <c r="E599">
        <f t="shared" si="47"/>
        <v>0.196001122445148</v>
      </c>
      <c r="F599">
        <f t="shared" si="49"/>
        <v>-0.720828367745225</v>
      </c>
      <c r="G599">
        <f t="shared" si="48"/>
        <v>-0.768351608606464</v>
      </c>
    </row>
    <row r="600" spans="1:7">
      <c r="A600" s="1">
        <v>39412</v>
      </c>
      <c r="B600">
        <v>1.4845</v>
      </c>
      <c r="C600">
        <f t="shared" si="45"/>
        <v>0.242800416035672</v>
      </c>
      <c r="D600">
        <f t="shared" si="46"/>
        <v>0.197604350478199</v>
      </c>
      <c r="E600">
        <f t="shared" si="47"/>
        <v>0.186151790736757</v>
      </c>
      <c r="F600">
        <f t="shared" si="49"/>
        <v>-0.661577375976302</v>
      </c>
      <c r="G600">
        <f t="shared" si="48"/>
        <v>-0.682252419427432</v>
      </c>
    </row>
    <row r="601" spans="1:7">
      <c r="A601" s="1">
        <v>39413</v>
      </c>
      <c r="B601">
        <v>1.4874</v>
      </c>
      <c r="C601">
        <f t="shared" si="45"/>
        <v>0.195161406538544</v>
      </c>
      <c r="D601">
        <f t="shared" si="46"/>
        <v>0.183739119633088</v>
      </c>
      <c r="E601">
        <f t="shared" si="47"/>
        <v>0.178930285393906</v>
      </c>
      <c r="F601">
        <f t="shared" si="49"/>
        <v>-0.74347229331449</v>
      </c>
      <c r="G601">
        <f t="shared" si="48"/>
        <v>-0.753947065597752</v>
      </c>
    </row>
    <row r="602" spans="1:7">
      <c r="A602" s="1">
        <v>39414</v>
      </c>
      <c r="B602">
        <v>1.4747</v>
      </c>
      <c r="C602">
        <f t="shared" si="45"/>
        <v>-0.857505001230478</v>
      </c>
      <c r="D602">
        <f t="shared" si="46"/>
        <v>0.16917400512999</v>
      </c>
      <c r="E602">
        <f t="shared" si="47"/>
        <v>0.171098867000377</v>
      </c>
      <c r="F602">
        <f t="shared" si="49"/>
        <v>1.28483630209985</v>
      </c>
      <c r="G602">
        <f t="shared" si="48"/>
        <v>1.26604412282625</v>
      </c>
    </row>
    <row r="603" spans="1:7">
      <c r="A603" s="1">
        <v>39415</v>
      </c>
      <c r="B603">
        <v>1.4738</v>
      </c>
      <c r="C603">
        <f t="shared" si="45"/>
        <v>-0.0610479923996141</v>
      </c>
      <c r="D603">
        <f t="shared" si="46"/>
        <v>0.225788087330519</v>
      </c>
      <c r="E603">
        <f t="shared" si="47"/>
        <v>0.198598676337118</v>
      </c>
      <c r="F603">
        <f t="shared" si="49"/>
        <v>-0.735826194893762</v>
      </c>
      <c r="G603">
        <f t="shared" si="48"/>
        <v>-0.798851710442114</v>
      </c>
    </row>
    <row r="604" spans="1:7">
      <c r="A604" s="1">
        <v>39416</v>
      </c>
      <c r="B604">
        <v>1.4761</v>
      </c>
      <c r="C604">
        <f t="shared" si="45"/>
        <v>0.155937521005206</v>
      </c>
      <c r="D604">
        <f t="shared" si="46"/>
        <v>0.20358196433507</v>
      </c>
      <c r="E604">
        <f t="shared" si="47"/>
        <v>0.187869098625692</v>
      </c>
      <c r="F604">
        <f t="shared" si="49"/>
        <v>-0.736121619369104</v>
      </c>
      <c r="G604">
        <f t="shared" si="48"/>
        <v>-0.771288289774159</v>
      </c>
    </row>
    <row r="605" spans="1:7">
      <c r="A605" s="1">
        <v>39419</v>
      </c>
      <c r="B605">
        <v>1.4666</v>
      </c>
      <c r="C605">
        <f t="shared" si="45"/>
        <v>-0.6456677883252</v>
      </c>
      <c r="D605">
        <f t="shared" si="46"/>
        <v>0.185655418947288</v>
      </c>
      <c r="E605">
        <f t="shared" si="47"/>
        <v>0.178812778231013</v>
      </c>
      <c r="F605">
        <f t="shared" si="49"/>
        <v>0.280812215219686</v>
      </c>
      <c r="G605">
        <f t="shared" si="48"/>
        <v>0.30499980219355</v>
      </c>
    </row>
    <row r="606" spans="1:7">
      <c r="A606" s="1">
        <v>39420</v>
      </c>
      <c r="B606">
        <v>1.4741</v>
      </c>
      <c r="C606">
        <f t="shared" si="45"/>
        <v>0.510083739353338</v>
      </c>
      <c r="D606">
        <f t="shared" si="46"/>
        <v>0.208778566340634</v>
      </c>
      <c r="E606">
        <f t="shared" si="47"/>
        <v>0.18992835618119</v>
      </c>
      <c r="F606">
        <f t="shared" si="49"/>
        <v>-0.160127196181618</v>
      </c>
      <c r="G606">
        <f t="shared" si="48"/>
        <v>-0.145597420099402</v>
      </c>
    </row>
    <row r="607" spans="1:7">
      <c r="A607" s="1">
        <v>39421</v>
      </c>
      <c r="B607">
        <v>1.472</v>
      </c>
      <c r="C607">
        <f t="shared" si="45"/>
        <v>-0.142561376441091</v>
      </c>
      <c r="D607">
        <f t="shared" si="46"/>
        <v>0.213919251821839</v>
      </c>
      <c r="E607">
        <f t="shared" si="47"/>
        <v>0.192541925867953</v>
      </c>
      <c r="F607">
        <f t="shared" si="49"/>
        <v>-0.723575019250324</v>
      </c>
      <c r="G607">
        <f t="shared" si="48"/>
        <v>-0.770943220096159</v>
      </c>
    </row>
    <row r="608" spans="1:7">
      <c r="A608" s="1">
        <v>39422</v>
      </c>
      <c r="B608">
        <v>1.4554</v>
      </c>
      <c r="C608">
        <f t="shared" si="45"/>
        <v>-1.13412433758354</v>
      </c>
      <c r="D608">
        <f t="shared" si="46"/>
        <v>0.194559701244933</v>
      </c>
      <c r="E608">
        <f t="shared" si="47"/>
        <v>0.183005597618515</v>
      </c>
      <c r="F608">
        <f t="shared" si="49"/>
        <v>2.48700173015798</v>
      </c>
      <c r="G608">
        <f t="shared" si="48"/>
        <v>2.66508474918442</v>
      </c>
    </row>
    <row r="609" spans="1:7">
      <c r="A609" s="1">
        <v>39423</v>
      </c>
      <c r="B609">
        <v>1.4649</v>
      </c>
      <c r="C609">
        <f t="shared" si="45"/>
        <v>0.650620382273828</v>
      </c>
      <c r="D609">
        <f t="shared" si="46"/>
        <v>0.30372753243037</v>
      </c>
      <c r="E609">
        <f t="shared" si="47"/>
        <v>0.237337162416369</v>
      </c>
      <c r="F609">
        <f t="shared" si="49"/>
        <v>0.101040868726768</v>
      </c>
      <c r="G609">
        <f t="shared" si="48"/>
        <v>0.172647056965926</v>
      </c>
    </row>
    <row r="610" spans="1:7">
      <c r="A610" s="1">
        <v>39426</v>
      </c>
      <c r="B610">
        <v>1.4718</v>
      </c>
      <c r="C610">
        <f t="shared" si="45"/>
        <v>0.469916075677426</v>
      </c>
      <c r="D610">
        <f t="shared" si="46"/>
        <v>0.315685467370347</v>
      </c>
      <c r="E610">
        <f t="shared" si="47"/>
        <v>0.245262276762894</v>
      </c>
      <c r="F610">
        <f t="shared" si="49"/>
        <v>-0.226755830764397</v>
      </c>
      <c r="G610">
        <f t="shared" si="48"/>
        <v>-0.252540137075862</v>
      </c>
    </row>
    <row r="611" spans="1:7">
      <c r="A611" s="1">
        <v>39427</v>
      </c>
      <c r="B611">
        <v>1.4672</v>
      </c>
      <c r="C611">
        <f t="shared" si="45"/>
        <v>-0.313031899029814</v>
      </c>
      <c r="D611">
        <f t="shared" si="46"/>
        <v>0.30619903245132</v>
      </c>
      <c r="E611">
        <f t="shared" si="47"/>
        <v>0.242587596066124</v>
      </c>
      <c r="F611">
        <f t="shared" si="49"/>
        <v>-0.431751356905628</v>
      </c>
      <c r="G611">
        <f t="shared" si="48"/>
        <v>-0.506230047854032</v>
      </c>
    </row>
    <row r="612" spans="1:7">
      <c r="A612" s="1">
        <v>39428</v>
      </c>
      <c r="B612">
        <v>1.4675</v>
      </c>
      <c r="C612">
        <f t="shared" si="45"/>
        <v>0.0204450200051191</v>
      </c>
      <c r="D612">
        <f t="shared" si="46"/>
        <v>0.285378026187209</v>
      </c>
      <c r="E612">
        <f t="shared" si="47"/>
        <v>0.233931788792667</v>
      </c>
      <c r="F612">
        <f t="shared" si="49"/>
        <v>-0.626237925074574</v>
      </c>
      <c r="G612">
        <f t="shared" si="48"/>
        <v>-0.725469433148772</v>
      </c>
    </row>
    <row r="613" spans="1:7">
      <c r="A613" s="1">
        <v>39429</v>
      </c>
      <c r="B613">
        <v>1.4683</v>
      </c>
      <c r="C613">
        <f t="shared" si="45"/>
        <v>0.0544996266640297</v>
      </c>
      <c r="D613">
        <f t="shared" si="46"/>
        <v>0.256882023452789</v>
      </c>
      <c r="E613">
        <f t="shared" si="47"/>
        <v>0.220916781407257</v>
      </c>
      <c r="F613">
        <f t="shared" si="49"/>
        <v>-0.673787904862275</v>
      </c>
      <c r="G613">
        <f t="shared" si="48"/>
        <v>-0.74826213961611</v>
      </c>
    </row>
    <row r="614" spans="1:7">
      <c r="A614" s="1">
        <v>39430</v>
      </c>
      <c r="B614">
        <v>1.4509</v>
      </c>
      <c r="C614">
        <f t="shared" si="45"/>
        <v>-1.19212154472523</v>
      </c>
      <c r="D614">
        <f t="shared" si="46"/>
        <v>0.231490842038162</v>
      </c>
      <c r="E614">
        <f t="shared" si="47"/>
        <v>0.208810284988148</v>
      </c>
      <c r="F614">
        <f t="shared" si="49"/>
        <v>2.33796055046623</v>
      </c>
      <c r="G614">
        <f t="shared" si="48"/>
        <v>2.61981381281387</v>
      </c>
    </row>
    <row r="615" spans="1:7">
      <c r="A615" s="1">
        <v>39433</v>
      </c>
      <c r="B615">
        <v>1.4393</v>
      </c>
      <c r="C615">
        <f t="shared" si="45"/>
        <v>-0.80271692530144</v>
      </c>
      <c r="D615">
        <f t="shared" si="46"/>
        <v>0.350457135574152</v>
      </c>
      <c r="E615">
        <f t="shared" si="47"/>
        <v>0.268339356758762</v>
      </c>
      <c r="F615">
        <f t="shared" si="49"/>
        <v>0.395047230347604</v>
      </c>
      <c r="G615">
        <f t="shared" si="48"/>
        <v>0.542882115760054</v>
      </c>
    </row>
    <row r="616" spans="1:7">
      <c r="A616" s="1">
        <v>39434</v>
      </c>
      <c r="B616">
        <v>1.4416</v>
      </c>
      <c r="C616">
        <f t="shared" si="45"/>
        <v>0.159672358544843</v>
      </c>
      <c r="D616">
        <f t="shared" si="46"/>
        <v>0.379846868233277</v>
      </c>
      <c r="E616">
        <f t="shared" si="47"/>
        <v>0.285456718461506</v>
      </c>
      <c r="F616">
        <f t="shared" si="49"/>
        <v>-0.450433621507201</v>
      </c>
      <c r="G616">
        <f t="shared" si="48"/>
        <v>-0.582175463983081</v>
      </c>
    </row>
    <row r="617" spans="1:7">
      <c r="A617" s="1">
        <v>39435</v>
      </c>
      <c r="B617">
        <v>1.4385</v>
      </c>
      <c r="C617">
        <f t="shared" si="45"/>
        <v>-0.215270386247095</v>
      </c>
      <c r="D617">
        <f t="shared" si="46"/>
        <v>0.344411707618276</v>
      </c>
      <c r="E617">
        <f t="shared" si="47"/>
        <v>0.27060407845798</v>
      </c>
      <c r="F617">
        <f t="shared" si="49"/>
        <v>-0.465682676372047</v>
      </c>
      <c r="G617">
        <f t="shared" si="48"/>
        <v>-0.567923523713634</v>
      </c>
    </row>
    <row r="618" spans="1:7">
      <c r="A618" s="1">
        <v>39436</v>
      </c>
      <c r="B618">
        <v>1.4349</v>
      </c>
      <c r="C618">
        <f t="shared" si="45"/>
        <v>-0.250574363724163</v>
      </c>
      <c r="D618">
        <f t="shared" si="46"/>
        <v>0.314604670775946</v>
      </c>
      <c r="E618">
        <f t="shared" si="47"/>
        <v>0.257684900710249</v>
      </c>
      <c r="F618">
        <f t="shared" si="49"/>
        <v>-0.478431268586627</v>
      </c>
      <c r="G618">
        <f t="shared" si="48"/>
        <v>-0.556178860605432</v>
      </c>
    </row>
    <row r="619" spans="1:7">
      <c r="A619" s="1">
        <v>39437</v>
      </c>
      <c r="B619">
        <v>1.438</v>
      </c>
      <c r="C619">
        <f t="shared" si="45"/>
        <v>0.215809892663109</v>
      </c>
      <c r="D619">
        <f t="shared" si="46"/>
        <v>0.289422954873928</v>
      </c>
      <c r="E619">
        <f t="shared" si="47"/>
        <v>0.246363182255423</v>
      </c>
      <c r="F619">
        <f t="shared" si="49"/>
        <v>-0.539473130044247</v>
      </c>
      <c r="G619">
        <f t="shared" si="48"/>
        <v>-0.605951371239656</v>
      </c>
    </row>
    <row r="620" spans="1:7">
      <c r="A620" s="1">
        <v>39440</v>
      </c>
      <c r="B620">
        <v>1.4398</v>
      </c>
      <c r="C620">
        <f t="shared" si="45"/>
        <v>0.125095575421059</v>
      </c>
      <c r="D620">
        <f t="shared" si="46"/>
        <v>0.265138050363662</v>
      </c>
      <c r="E620">
        <f t="shared" si="47"/>
        <v>0.234910086808661</v>
      </c>
      <c r="F620">
        <f t="shared" si="49"/>
        <v>-0.634241463406901</v>
      </c>
      <c r="G620">
        <f t="shared" si="48"/>
        <v>-0.69096794135237</v>
      </c>
    </row>
    <row r="621" spans="1:7">
      <c r="A621" s="1">
        <v>39443</v>
      </c>
      <c r="B621">
        <v>1.4516</v>
      </c>
      <c r="C621">
        <f t="shared" si="45"/>
        <v>0.816218130371266</v>
      </c>
      <c r="D621">
        <f t="shared" si="46"/>
        <v>0.240189135626288</v>
      </c>
      <c r="E621">
        <f t="shared" si="47"/>
        <v>0.222597926749637</v>
      </c>
      <c r="F621">
        <f t="shared" si="49"/>
        <v>0.673684514780179</v>
      </c>
      <c r="G621">
        <f t="shared" si="48"/>
        <v>0.745253006043003</v>
      </c>
    </row>
    <row r="622" spans="1:7">
      <c r="A622" s="1">
        <v>39444</v>
      </c>
      <c r="B622">
        <v>1.4692</v>
      </c>
      <c r="C622">
        <f t="shared" si="45"/>
        <v>1.20516386065971</v>
      </c>
      <c r="D622">
        <f t="shared" si="46"/>
        <v>0.282791425698336</v>
      </c>
      <c r="E622">
        <f t="shared" si="47"/>
        <v>0.243552652961997</v>
      </c>
      <c r="F622">
        <f t="shared" si="49"/>
        <v>1.93648277009083</v>
      </c>
      <c r="G622">
        <f t="shared" si="48"/>
        <v>2.27552597291334</v>
      </c>
    </row>
    <row r="623" spans="1:7">
      <c r="A623" s="1">
        <v>39447</v>
      </c>
      <c r="B623">
        <v>1.4721</v>
      </c>
      <c r="C623">
        <f t="shared" si="45"/>
        <v>0.197191781845506</v>
      </c>
      <c r="D623">
        <f t="shared" si="46"/>
        <v>0.399754276232524</v>
      </c>
      <c r="E623">
        <f t="shared" si="47"/>
        <v>0.302560490336288</v>
      </c>
      <c r="F623">
        <f t="shared" si="49"/>
        <v>-0.409816989171789</v>
      </c>
      <c r="G623">
        <f t="shared" si="48"/>
        <v>-0.533477812336684</v>
      </c>
    </row>
    <row r="624" spans="1:7">
      <c r="A624" s="1">
        <v>39449</v>
      </c>
      <c r="B624">
        <v>1.4688</v>
      </c>
      <c r="C624">
        <f t="shared" si="45"/>
        <v>-0.224421189774124</v>
      </c>
      <c r="D624">
        <f t="shared" si="46"/>
        <v>0.363667308492012</v>
      </c>
      <c r="E624">
        <f t="shared" si="47"/>
        <v>0.287351090857481</v>
      </c>
      <c r="F624">
        <f t="shared" si="49"/>
        <v>-0.436512104349943</v>
      </c>
      <c r="G624">
        <f t="shared" si="48"/>
        <v>-0.535888779035689</v>
      </c>
    </row>
    <row r="625" spans="1:7">
      <c r="A625" s="1">
        <v>39450</v>
      </c>
      <c r="B625">
        <v>1.4753</v>
      </c>
      <c r="C625">
        <f t="shared" si="45"/>
        <v>0.441561805729524</v>
      </c>
      <c r="D625">
        <f t="shared" si="46"/>
        <v>0.332337064684774</v>
      </c>
      <c r="E625">
        <f t="shared" si="47"/>
        <v>0.273628268927014</v>
      </c>
      <c r="F625">
        <f t="shared" si="49"/>
        <v>-0.257460800320326</v>
      </c>
      <c r="G625">
        <f t="shared" si="48"/>
        <v>-0.291711896742219</v>
      </c>
    </row>
    <row r="626" spans="1:7">
      <c r="A626" s="1">
        <v>39451</v>
      </c>
      <c r="B626">
        <v>1.4727</v>
      </c>
      <c r="C626">
        <f t="shared" si="45"/>
        <v>-0.176390819140487</v>
      </c>
      <c r="D626">
        <f t="shared" si="46"/>
        <v>0.318601041044208</v>
      </c>
      <c r="E626">
        <f t="shared" si="47"/>
        <v>0.267959414205349</v>
      </c>
      <c r="F626">
        <f t="shared" si="49"/>
        <v>-0.523079151277292</v>
      </c>
      <c r="G626">
        <f t="shared" si="48"/>
        <v>-0.600403095560305</v>
      </c>
    </row>
    <row r="627" spans="1:7">
      <c r="A627" s="1">
        <v>39454</v>
      </c>
      <c r="B627">
        <v>1.4723</v>
      </c>
      <c r="C627">
        <f t="shared" si="45"/>
        <v>-0.027164686075365</v>
      </c>
      <c r="D627">
        <f t="shared" si="46"/>
        <v>0.289852309047493</v>
      </c>
      <c r="E627">
        <f t="shared" si="47"/>
        <v>0.254437535406881</v>
      </c>
      <c r="F627">
        <f t="shared" si="49"/>
        <v>-0.61791895800913</v>
      </c>
      <c r="G627">
        <f t="shared" si="48"/>
        <v>-0.682899855936941</v>
      </c>
    </row>
    <row r="628" spans="1:7">
      <c r="A628" s="1">
        <v>39455</v>
      </c>
      <c r="B628">
        <v>1.4705</v>
      </c>
      <c r="C628">
        <f t="shared" si="45"/>
        <v>-0.122332487731313</v>
      </c>
      <c r="D628">
        <f t="shared" si="46"/>
        <v>0.260940870159701</v>
      </c>
      <c r="E628">
        <f t="shared" si="47"/>
        <v>0.240208179290946</v>
      </c>
      <c r="F628">
        <f t="shared" si="49"/>
        <v>-0.643055190284244</v>
      </c>
      <c r="G628">
        <f t="shared" si="48"/>
        <v>-0.681974101139256</v>
      </c>
    </row>
    <row r="629" spans="1:7">
      <c r="A629" s="1">
        <v>39456</v>
      </c>
      <c r="B629">
        <v>1.468</v>
      </c>
      <c r="C629">
        <f t="shared" si="45"/>
        <v>-0.170154881958882</v>
      </c>
      <c r="D629">
        <f t="shared" si="46"/>
        <v>0.236343306899184</v>
      </c>
      <c r="E629">
        <f t="shared" si="47"/>
        <v>0.227543950411216</v>
      </c>
      <c r="F629">
        <f t="shared" si="49"/>
        <v>-0.659983590189174</v>
      </c>
      <c r="G629">
        <f t="shared" si="48"/>
        <v>-0.676585953763383</v>
      </c>
    </row>
    <row r="630" spans="1:7">
      <c r="A630" s="1">
        <v>39457</v>
      </c>
      <c r="B630">
        <v>1.4662</v>
      </c>
      <c r="C630">
        <f t="shared" si="45"/>
        <v>-0.122691038497473</v>
      </c>
      <c r="D630">
        <f t="shared" si="46"/>
        <v>0.21560424459471</v>
      </c>
      <c r="E630">
        <f t="shared" si="47"/>
        <v>0.216338947579265</v>
      </c>
      <c r="F630">
        <f t="shared" si="49"/>
        <v>-0.732246298056352</v>
      </c>
      <c r="G630">
        <f t="shared" si="48"/>
        <v>-0.730663925190605</v>
      </c>
    </row>
    <row r="631" spans="1:7">
      <c r="A631" s="1">
        <v>39458</v>
      </c>
      <c r="B631">
        <v>1.4792</v>
      </c>
      <c r="C631">
        <f t="shared" si="45"/>
        <v>0.882738128342886</v>
      </c>
      <c r="D631">
        <f t="shared" si="46"/>
        <v>0.195549129227998</v>
      </c>
      <c r="E631">
        <f t="shared" si="47"/>
        <v>0.205111265270889</v>
      </c>
      <c r="F631">
        <f t="shared" si="49"/>
        <v>1.17643440579</v>
      </c>
      <c r="G631">
        <f t="shared" si="48"/>
        <v>1.10742036647216</v>
      </c>
    </row>
    <row r="632" spans="1:7">
      <c r="A632" s="1">
        <v>39461</v>
      </c>
      <c r="B632">
        <v>1.4895</v>
      </c>
      <c r="C632">
        <f t="shared" si="45"/>
        <v>0.693909208042183</v>
      </c>
      <c r="D632">
        <f t="shared" si="46"/>
        <v>0.253916876628228</v>
      </c>
      <c r="E632">
        <f t="shared" si="47"/>
        <v>0.232765919516151</v>
      </c>
      <c r="F632">
        <f t="shared" si="49"/>
        <v>0.262790441473319</v>
      </c>
      <c r="G632">
        <f t="shared" si="48"/>
        <v>0.305461373162263</v>
      </c>
    </row>
    <row r="633" spans="1:7">
      <c r="A633" s="1">
        <v>39462</v>
      </c>
      <c r="B633">
        <v>1.4886</v>
      </c>
      <c r="C633">
        <f t="shared" si="45"/>
        <v>-0.0604412227526713</v>
      </c>
      <c r="D633">
        <f t="shared" si="46"/>
        <v>0.276676187865978</v>
      </c>
      <c r="E633">
        <f t="shared" si="47"/>
        <v>0.243875463795468</v>
      </c>
      <c r="F633">
        <f t="shared" si="49"/>
        <v>-0.635851891149313</v>
      </c>
      <c r="G633">
        <f t="shared" si="48"/>
        <v>-0.69805902088991</v>
      </c>
    </row>
    <row r="634" spans="1:7">
      <c r="A634" s="1">
        <v>39463</v>
      </c>
      <c r="B634">
        <v>1.4792</v>
      </c>
      <c r="C634">
        <f t="shared" si="45"/>
        <v>-0.633467985289515</v>
      </c>
      <c r="D634">
        <f t="shared" si="46"/>
        <v>0.249373883220164</v>
      </c>
      <c r="E634">
        <f t="shared" si="47"/>
        <v>0.230425593038132</v>
      </c>
      <c r="F634">
        <f t="shared" si="49"/>
        <v>0.110177432132149</v>
      </c>
      <c r="G634">
        <f t="shared" si="48"/>
        <v>0.136826637040971</v>
      </c>
    </row>
    <row r="635" spans="1:7">
      <c r="A635" s="1">
        <v>39464</v>
      </c>
      <c r="B635">
        <v>1.4691</v>
      </c>
      <c r="C635">
        <f t="shared" si="45"/>
        <v>-0.685143269653376</v>
      </c>
      <c r="D635">
        <f t="shared" si="46"/>
        <v>0.264564663736823</v>
      </c>
      <c r="E635">
        <f t="shared" si="47"/>
        <v>0.237664141875182</v>
      </c>
      <c r="F635">
        <f t="shared" si="49"/>
        <v>0.222323178759466</v>
      </c>
      <c r="G635">
        <f t="shared" si="48"/>
        <v>0.269124448073576</v>
      </c>
    </row>
    <row r="636" spans="1:7">
      <c r="A636" s="1">
        <v>39465</v>
      </c>
      <c r="B636">
        <v>1.4674</v>
      </c>
      <c r="C636">
        <f t="shared" si="45"/>
        <v>-0.115784109648747</v>
      </c>
      <c r="D636">
        <f t="shared" si="46"/>
        <v>0.285050327358273</v>
      </c>
      <c r="E636">
        <f t="shared" si="47"/>
        <v>0.247875358360237</v>
      </c>
      <c r="F636">
        <f t="shared" si="49"/>
        <v>-0.604029687849574</v>
      </c>
      <c r="G636">
        <f t="shared" si="48"/>
        <v>-0.670372887118461</v>
      </c>
    </row>
    <row r="637" spans="1:7">
      <c r="A637" s="1">
        <v>39468</v>
      </c>
      <c r="B637">
        <v>1.4482</v>
      </c>
      <c r="C637">
        <f t="shared" si="45"/>
        <v>-1.31707213251735</v>
      </c>
      <c r="D637">
        <f t="shared" si="46"/>
        <v>0.257885890627161</v>
      </c>
      <c r="E637">
        <f t="shared" si="47"/>
        <v>0.23467313486098</v>
      </c>
      <c r="F637">
        <f t="shared" si="49"/>
        <v>2.68564949515032</v>
      </c>
      <c r="G637">
        <f t="shared" si="48"/>
        <v>2.97116631360858</v>
      </c>
    </row>
    <row r="638" spans="1:7">
      <c r="A638" s="1">
        <v>39469</v>
      </c>
      <c r="B638">
        <v>1.4494</v>
      </c>
      <c r="C638">
        <f t="shared" si="45"/>
        <v>0.0828271720460806</v>
      </c>
      <c r="D638">
        <f t="shared" si="46"/>
        <v>0.405565201789826</v>
      </c>
      <c r="E638">
        <f t="shared" si="47"/>
        <v>0.308326696882012</v>
      </c>
      <c r="F638">
        <f t="shared" si="49"/>
        <v>-0.442779059610639</v>
      </c>
      <c r="G638">
        <f t="shared" si="48"/>
        <v>-0.577172561173255</v>
      </c>
    </row>
    <row r="639" spans="1:7">
      <c r="A639" s="1">
        <v>39470</v>
      </c>
      <c r="B639">
        <v>1.4574</v>
      </c>
      <c r="C639">
        <f t="shared" si="45"/>
        <v>0.550434856100081</v>
      </c>
      <c r="D639">
        <f t="shared" si="46"/>
        <v>0.365694715653759</v>
      </c>
      <c r="E639">
        <f t="shared" si="47"/>
        <v>0.291170112090549</v>
      </c>
      <c r="F639">
        <f t="shared" si="49"/>
        <v>-0.0887275745166439</v>
      </c>
      <c r="G639">
        <f t="shared" si="48"/>
        <v>-0.0966462770343051</v>
      </c>
    </row>
    <row r="640" spans="1:7">
      <c r="A640" s="1">
        <v>39471</v>
      </c>
      <c r="B640">
        <v>1.4663</v>
      </c>
      <c r="C640">
        <f t="shared" si="45"/>
        <v>0.608819474685158</v>
      </c>
      <c r="D640">
        <f t="shared" si="46"/>
        <v>0.359423097169374</v>
      </c>
      <c r="E640">
        <f t="shared" si="47"/>
        <v>0.289848831905612</v>
      </c>
      <c r="F640">
        <f t="shared" si="49"/>
        <v>0.00400594289270895</v>
      </c>
      <c r="G640">
        <f t="shared" si="48"/>
        <v>0.0202063742296668</v>
      </c>
    </row>
    <row r="641" spans="1:7">
      <c r="A641" s="1">
        <v>39472</v>
      </c>
      <c r="B641">
        <v>1.4705</v>
      </c>
      <c r="C641">
        <f t="shared" si="45"/>
        <v>0.286025801101621</v>
      </c>
      <c r="D641">
        <f t="shared" si="46"/>
        <v>0.360546902728028</v>
      </c>
      <c r="E641">
        <f t="shared" si="47"/>
        <v>0.291990959629071</v>
      </c>
      <c r="F641">
        <f t="shared" si="49"/>
        <v>-0.396612914946743</v>
      </c>
      <c r="G641">
        <f t="shared" si="48"/>
        <v>-0.475424965516635</v>
      </c>
    </row>
    <row r="642" spans="1:7">
      <c r="A642" s="1">
        <v>39475</v>
      </c>
      <c r="B642">
        <v>1.4755</v>
      </c>
      <c r="C642">
        <f t="shared" si="45"/>
        <v>0.339443638894438</v>
      </c>
      <c r="D642">
        <f t="shared" si="46"/>
        <v>0.332673288344808</v>
      </c>
      <c r="E642">
        <f t="shared" si="47"/>
        <v>0.279562039996118</v>
      </c>
      <c r="F642">
        <f t="shared" si="49"/>
        <v>-0.37712130573729</v>
      </c>
      <c r="G642">
        <f t="shared" si="48"/>
        <v>-0.43118964667358</v>
      </c>
    </row>
    <row r="643" spans="1:7">
      <c r="A643" s="1">
        <v>39476</v>
      </c>
      <c r="B643">
        <v>1.4773</v>
      </c>
      <c r="C643">
        <f t="shared" si="45"/>
        <v>0.12191819445684</v>
      </c>
      <c r="D643">
        <f t="shared" si="46"/>
        <v>0.310928157908917</v>
      </c>
      <c r="E643">
        <f t="shared" si="47"/>
        <v>0.269549416795645</v>
      </c>
      <c r="F643">
        <f t="shared" si="49"/>
        <v>-0.560193996601547</v>
      </c>
      <c r="G643">
        <f t="shared" si="48"/>
        <v>-0.627929746054974</v>
      </c>
    </row>
    <row r="644" spans="1:7">
      <c r="A644" s="1">
        <v>39477</v>
      </c>
      <c r="B644">
        <v>1.481</v>
      </c>
      <c r="C644">
        <f t="shared" ref="C644:C707" si="50">100*LN(B644/B643)</f>
        <v>0.250143794023643</v>
      </c>
      <c r="D644">
        <f t="shared" si="46"/>
        <v>0.281321746731987</v>
      </c>
      <c r="E644">
        <f t="shared" si="47"/>
        <v>0.255119654094887</v>
      </c>
      <c r="F644">
        <f t="shared" si="49"/>
        <v>-0.522917534238778</v>
      </c>
      <c r="G644">
        <f t="shared" si="48"/>
        <v>-0.560378814441502</v>
      </c>
    </row>
    <row r="645" spans="1:7">
      <c r="A645" s="1">
        <v>39478</v>
      </c>
      <c r="B645">
        <v>1.487</v>
      </c>
      <c r="C645">
        <f t="shared" si="50"/>
        <v>0.404313219235633</v>
      </c>
      <c r="D645">
        <f t="shared" ref="D645:D708" si="51">$J$1*D644+(1-$J$1)*C644^2</f>
        <v>0.259446763827642</v>
      </c>
      <c r="E645">
        <f t="shared" ref="E645:E708" si="52">$K$1+$K$2*C644^2+$K$3*E644</f>
        <v>0.243941070733621</v>
      </c>
      <c r="F645">
        <f t="shared" si="49"/>
        <v>-0.359567727419174</v>
      </c>
      <c r="G645">
        <f t="shared" ref="G645:G708" si="53">0.5*(LN(E645)+C645^2/E645)</f>
        <v>-0.370355550620245</v>
      </c>
    </row>
    <row r="646" spans="1:7">
      <c r="A646" s="1">
        <v>39479</v>
      </c>
      <c r="B646">
        <v>1.4889</v>
      </c>
      <c r="C646">
        <f t="shared" si="50"/>
        <v>0.12769248013497</v>
      </c>
      <c r="D646">
        <f t="shared" si="51"/>
        <v>0.249849005369746</v>
      </c>
      <c r="E646">
        <f t="shared" si="52"/>
        <v>0.238478065452038</v>
      </c>
      <c r="F646">
        <f t="shared" si="49"/>
        <v>-0.660818813999512</v>
      </c>
      <c r="G646">
        <f t="shared" si="53"/>
        <v>-0.682552662211984</v>
      </c>
    </row>
    <row r="647" spans="1:7">
      <c r="A647" s="1">
        <v>39482</v>
      </c>
      <c r="B647">
        <v>1.4829</v>
      </c>
      <c r="C647">
        <f t="shared" si="50"/>
        <v>-0.403796228048131</v>
      </c>
      <c r="D647">
        <f t="shared" si="51"/>
        <v>0.226494641781073</v>
      </c>
      <c r="E647">
        <f t="shared" si="52"/>
        <v>0.225984649999067</v>
      </c>
      <c r="F647">
        <f t="shared" ref="F647:F710" si="54">0.5*(LN(D647)+C647^2/D647)</f>
        <v>-0.382571628760771</v>
      </c>
      <c r="G647">
        <f t="shared" si="53"/>
        <v>-0.382886426304162</v>
      </c>
    </row>
    <row r="648" spans="1:7">
      <c r="A648" s="1">
        <v>39483</v>
      </c>
      <c r="B648">
        <v>1.4688</v>
      </c>
      <c r="C648">
        <f t="shared" si="50"/>
        <v>-0.955388911479729</v>
      </c>
      <c r="D648">
        <f t="shared" si="51"/>
        <v>0.220150316981556</v>
      </c>
      <c r="E648">
        <f t="shared" si="52"/>
        <v>0.221578140688418</v>
      </c>
      <c r="F648">
        <f t="shared" si="54"/>
        <v>1.31633387623182</v>
      </c>
      <c r="G648">
        <f t="shared" si="53"/>
        <v>1.30620771099623</v>
      </c>
    </row>
    <row r="649" spans="1:7">
      <c r="A649" s="1">
        <v>39484</v>
      </c>
      <c r="B649">
        <v>1.4621</v>
      </c>
      <c r="C649">
        <f t="shared" si="50"/>
        <v>-0.457198244283379</v>
      </c>
      <c r="D649">
        <f t="shared" si="51"/>
        <v>0.289412082501242</v>
      </c>
      <c r="E649">
        <f t="shared" si="52"/>
        <v>0.254921850856034</v>
      </c>
      <c r="F649">
        <f t="shared" si="54"/>
        <v>-0.258822783982104</v>
      </c>
      <c r="G649">
        <f t="shared" si="53"/>
        <v>-0.273410270813538</v>
      </c>
    </row>
    <row r="650" spans="1:7">
      <c r="A650" s="1">
        <v>39485</v>
      </c>
      <c r="B650">
        <v>1.4569</v>
      </c>
      <c r="C650">
        <f t="shared" si="50"/>
        <v>-0.356286776344198</v>
      </c>
      <c r="D650">
        <f t="shared" si="51"/>
        <v>0.281373897708699</v>
      </c>
      <c r="E650">
        <f t="shared" si="52"/>
        <v>0.251078051533462</v>
      </c>
      <c r="F650">
        <f t="shared" si="54"/>
        <v>-0.408463233108429</v>
      </c>
      <c r="G650">
        <f t="shared" si="53"/>
        <v>-0.438205263483493</v>
      </c>
    </row>
    <row r="651" spans="1:7">
      <c r="A651" s="1">
        <v>39486</v>
      </c>
      <c r="B651">
        <v>1.4513</v>
      </c>
      <c r="C651">
        <f t="shared" si="50"/>
        <v>-0.385118418363301</v>
      </c>
      <c r="D651">
        <f t="shared" si="51"/>
        <v>0.265930534637603</v>
      </c>
      <c r="E651">
        <f t="shared" si="52"/>
        <v>0.243360381791341</v>
      </c>
      <c r="F651">
        <f t="shared" si="54"/>
        <v>-0.383397409309382</v>
      </c>
      <c r="G651">
        <f t="shared" si="53"/>
        <v>-0.401880506319923</v>
      </c>
    </row>
    <row r="652" spans="1:7">
      <c r="A652" s="1">
        <v>39489</v>
      </c>
      <c r="B652">
        <v>1.4542</v>
      </c>
      <c r="C652">
        <f t="shared" si="50"/>
        <v>0.199621473963929</v>
      </c>
      <c r="D652">
        <f t="shared" si="51"/>
        <v>0.254169100790108</v>
      </c>
      <c r="E652">
        <f t="shared" si="52"/>
        <v>0.237174568691993</v>
      </c>
      <c r="F652">
        <f t="shared" si="54"/>
        <v>-0.606487541997833</v>
      </c>
      <c r="G652">
        <f t="shared" si="53"/>
        <v>-0.635472237166618</v>
      </c>
    </row>
    <row r="653" spans="1:7">
      <c r="A653" s="1">
        <v>39490</v>
      </c>
      <c r="B653">
        <v>1.4538</v>
      </c>
      <c r="C653">
        <f t="shared" si="50"/>
        <v>-0.0275103165421359</v>
      </c>
      <c r="D653">
        <f t="shared" si="51"/>
        <v>0.23273706399785</v>
      </c>
      <c r="E653">
        <f t="shared" si="52"/>
        <v>0.22593653121385</v>
      </c>
      <c r="F653">
        <f t="shared" si="54"/>
        <v>-0.727297064935431</v>
      </c>
      <c r="G653">
        <f t="shared" si="53"/>
        <v>-0.742075731852495</v>
      </c>
    </row>
    <row r="654" spans="1:7">
      <c r="A654" s="1">
        <v>39491</v>
      </c>
      <c r="B654">
        <v>1.4586</v>
      </c>
      <c r="C654">
        <f t="shared" si="50"/>
        <v>0.329625349959755</v>
      </c>
      <c r="D654">
        <f t="shared" si="51"/>
        <v>0.20953903934969</v>
      </c>
      <c r="E654">
        <f t="shared" si="52"/>
        <v>0.213418180216832</v>
      </c>
      <c r="F654">
        <f t="shared" si="54"/>
        <v>-0.522156190181557</v>
      </c>
      <c r="G654">
        <f t="shared" si="53"/>
        <v>-0.517696949233885</v>
      </c>
    </row>
    <row r="655" spans="1:7">
      <c r="A655" s="1">
        <v>39492</v>
      </c>
      <c r="B655">
        <v>1.4626</v>
      </c>
      <c r="C655">
        <f t="shared" si="50"/>
        <v>0.273860228671819</v>
      </c>
      <c r="D655">
        <f t="shared" si="51"/>
        <v>0.19945042254833</v>
      </c>
      <c r="E655">
        <f t="shared" si="52"/>
        <v>0.207045732970626</v>
      </c>
      <c r="F655">
        <f t="shared" si="54"/>
        <v>-0.618079584321277</v>
      </c>
      <c r="G655">
        <f t="shared" si="53"/>
        <v>-0.606289772718829</v>
      </c>
    </row>
    <row r="656" spans="1:7">
      <c r="A656" s="1">
        <v>39493</v>
      </c>
      <c r="B656">
        <v>1.4674</v>
      </c>
      <c r="C656">
        <f t="shared" si="50"/>
        <v>0.327645344304306</v>
      </c>
      <c r="D656">
        <f t="shared" si="51"/>
        <v>0.187005322778315</v>
      </c>
      <c r="E656">
        <f t="shared" si="52"/>
        <v>0.199372960234798</v>
      </c>
      <c r="F656">
        <f t="shared" si="54"/>
        <v>-0.551281248776039</v>
      </c>
      <c r="G656">
        <f t="shared" si="53"/>
        <v>-0.537066272198559</v>
      </c>
    </row>
    <row r="657" spans="1:7">
      <c r="A657" s="1">
        <v>39496</v>
      </c>
      <c r="B657">
        <v>1.4636</v>
      </c>
      <c r="C657">
        <f t="shared" si="50"/>
        <v>-0.259297313484218</v>
      </c>
      <c r="D657">
        <f t="shared" si="51"/>
        <v>0.179039937664912</v>
      </c>
      <c r="E657">
        <f t="shared" si="52"/>
        <v>0.193778156202924</v>
      </c>
      <c r="F657">
        <f t="shared" si="54"/>
        <v>-0.672307551799828</v>
      </c>
      <c r="G657">
        <f t="shared" si="53"/>
        <v>-0.647035933514576</v>
      </c>
    </row>
    <row r="658" spans="1:7">
      <c r="A658" s="1">
        <v>39497</v>
      </c>
      <c r="B658">
        <v>1.4742</v>
      </c>
      <c r="C658">
        <f t="shared" si="50"/>
        <v>0.721631561013671</v>
      </c>
      <c r="D658">
        <f t="shared" si="51"/>
        <v>0.167859453576434</v>
      </c>
      <c r="E658">
        <f t="shared" si="52"/>
        <v>0.186513221669755</v>
      </c>
      <c r="F658">
        <f t="shared" si="54"/>
        <v>0.65884102646329</v>
      </c>
      <c r="G658">
        <f t="shared" si="53"/>
        <v>0.55639271367055</v>
      </c>
    </row>
    <row r="659" spans="1:7">
      <c r="A659" s="1">
        <v>39498</v>
      </c>
      <c r="B659">
        <v>1.4656</v>
      </c>
      <c r="C659">
        <f t="shared" si="50"/>
        <v>-0.585075483532262</v>
      </c>
      <c r="D659">
        <f t="shared" si="51"/>
        <v>0.203148719203894</v>
      </c>
      <c r="E659">
        <f t="shared" si="52"/>
        <v>0.202360033862121</v>
      </c>
      <c r="F659">
        <f t="shared" si="54"/>
        <v>0.0456105437920995</v>
      </c>
      <c r="G659">
        <f t="shared" si="53"/>
        <v>0.0469492775356873</v>
      </c>
    </row>
    <row r="660" spans="1:7">
      <c r="A660" s="1">
        <v>39499</v>
      </c>
      <c r="B660">
        <v>1.4736</v>
      </c>
      <c r="C660">
        <f t="shared" si="50"/>
        <v>0.544367158117667</v>
      </c>
      <c r="D660">
        <f t="shared" si="51"/>
        <v>0.217065179426555</v>
      </c>
      <c r="E660">
        <f t="shared" si="52"/>
        <v>0.20833409790192</v>
      </c>
      <c r="F660">
        <f t="shared" si="54"/>
        <v>-0.0811829026789713</v>
      </c>
      <c r="G660">
        <f t="shared" si="53"/>
        <v>-0.0731032872506975</v>
      </c>
    </row>
    <row r="661" spans="1:7">
      <c r="A661" s="1">
        <v>39500</v>
      </c>
      <c r="B661">
        <v>1.4848</v>
      </c>
      <c r="C661">
        <f t="shared" si="50"/>
        <v>0.757169653089373</v>
      </c>
      <c r="D661">
        <f t="shared" si="51"/>
        <v>0.22499222176761</v>
      </c>
      <c r="E661">
        <f t="shared" si="52"/>
        <v>0.21165083216966</v>
      </c>
      <c r="F661">
        <f t="shared" si="54"/>
        <v>0.528212394982998</v>
      </c>
      <c r="G661">
        <f t="shared" si="53"/>
        <v>0.577958494951402</v>
      </c>
    </row>
    <row r="662" spans="1:7">
      <c r="A662" s="1">
        <v>39503</v>
      </c>
      <c r="B662">
        <v>1.4817</v>
      </c>
      <c r="C662">
        <f t="shared" si="50"/>
        <v>-0.20900058172472</v>
      </c>
      <c r="D662">
        <f t="shared" si="51"/>
        <v>0.259823587946797</v>
      </c>
      <c r="E662">
        <f t="shared" si="52"/>
        <v>0.228617076417454</v>
      </c>
      <c r="F662">
        <f t="shared" si="54"/>
        <v>-0.589816767398213</v>
      </c>
      <c r="G662">
        <f t="shared" si="53"/>
        <v>-0.642319774754933</v>
      </c>
    </row>
    <row r="663" spans="1:7">
      <c r="A663" s="1">
        <v>39504</v>
      </c>
      <c r="B663">
        <v>1.4874</v>
      </c>
      <c r="C663">
        <f t="shared" si="50"/>
        <v>0.383955205451099</v>
      </c>
      <c r="D663">
        <f t="shared" si="51"/>
        <v>0.238209353468245</v>
      </c>
      <c r="E663">
        <f t="shared" si="52"/>
        <v>0.218084113990471</v>
      </c>
      <c r="F663">
        <f t="shared" si="54"/>
        <v>-0.407865626609102</v>
      </c>
      <c r="G663">
        <f t="shared" si="53"/>
        <v>-0.423444700388964</v>
      </c>
    </row>
    <row r="664" spans="1:7">
      <c r="A664" s="1">
        <v>39505</v>
      </c>
      <c r="B664">
        <v>1.5044</v>
      </c>
      <c r="C664">
        <f t="shared" si="50"/>
        <v>1.13645183269814</v>
      </c>
      <c r="D664">
        <f t="shared" si="51"/>
        <v>0.22913057810072</v>
      </c>
      <c r="E664">
        <f t="shared" si="52"/>
        <v>0.213370147140692</v>
      </c>
      <c r="F664">
        <f t="shared" si="54"/>
        <v>2.08158006393909</v>
      </c>
      <c r="G664">
        <f t="shared" si="53"/>
        <v>2.25412080246106</v>
      </c>
    </row>
    <row r="665" spans="1:7">
      <c r="A665" s="1">
        <v>39506</v>
      </c>
      <c r="B665">
        <v>1.5121</v>
      </c>
      <c r="C665">
        <f t="shared" si="50"/>
        <v>0.510526552244217</v>
      </c>
      <c r="D665">
        <f t="shared" si="51"/>
        <v>0.335369797094945</v>
      </c>
      <c r="E665">
        <f t="shared" si="52"/>
        <v>0.266144076714399</v>
      </c>
      <c r="F665">
        <f t="shared" si="54"/>
        <v>-0.157678700940933</v>
      </c>
      <c r="G665">
        <f t="shared" si="53"/>
        <v>-0.172204104283735</v>
      </c>
    </row>
    <row r="666" spans="1:7">
      <c r="A666" s="1">
        <v>39507</v>
      </c>
      <c r="B666">
        <v>1.5167</v>
      </c>
      <c r="C666">
        <f t="shared" si="50"/>
        <v>0.303750893872765</v>
      </c>
      <c r="D666">
        <f t="shared" si="51"/>
        <v>0.327896553440087</v>
      </c>
      <c r="E666">
        <f t="shared" si="52"/>
        <v>0.264207300138853</v>
      </c>
      <c r="F666">
        <f t="shared" si="54"/>
        <v>-0.416836916420925</v>
      </c>
      <c r="G666">
        <f t="shared" si="53"/>
        <v>-0.49090416285721</v>
      </c>
    </row>
    <row r="667" spans="1:7">
      <c r="A667" s="1">
        <v>39510</v>
      </c>
      <c r="B667">
        <v>1.5203</v>
      </c>
      <c r="C667">
        <f t="shared" si="50"/>
        <v>0.237076172943899</v>
      </c>
      <c r="D667">
        <f t="shared" si="51"/>
        <v>0.304333358648929</v>
      </c>
      <c r="E667">
        <f t="shared" si="52"/>
        <v>0.253968092406947</v>
      </c>
      <c r="F667">
        <f t="shared" si="54"/>
        <v>-0.502474443060005</v>
      </c>
      <c r="G667">
        <f t="shared" si="53"/>
        <v>-0.574619435945194</v>
      </c>
    </row>
    <row r="668" spans="1:7">
      <c r="A668" s="1">
        <v>39511</v>
      </c>
      <c r="B668">
        <v>1.5206</v>
      </c>
      <c r="C668">
        <f t="shared" si="50"/>
        <v>0.0197310007545873</v>
      </c>
      <c r="D668">
        <f t="shared" si="51"/>
        <v>0.279520533961808</v>
      </c>
      <c r="E668">
        <f t="shared" si="52"/>
        <v>0.242540262451417</v>
      </c>
      <c r="F668">
        <f t="shared" si="54"/>
        <v>-0.636643367971812</v>
      </c>
      <c r="G668">
        <f t="shared" si="53"/>
        <v>-0.707491203120706</v>
      </c>
    </row>
    <row r="669" spans="1:7">
      <c r="A669" s="1">
        <v>39512</v>
      </c>
      <c r="B669">
        <v>1.5196</v>
      </c>
      <c r="C669">
        <f t="shared" si="50"/>
        <v>-0.0657851480865729</v>
      </c>
      <c r="D669">
        <f t="shared" si="51"/>
        <v>0.251607411804705</v>
      </c>
      <c r="E669">
        <f t="shared" si="52"/>
        <v>0.229007312323871</v>
      </c>
      <c r="F669">
        <f t="shared" si="54"/>
        <v>-0.681342571990203</v>
      </c>
      <c r="G669">
        <f t="shared" si="53"/>
        <v>-0.72755187847679</v>
      </c>
    </row>
    <row r="670" spans="1:7">
      <c r="A670" s="1">
        <v>39513</v>
      </c>
      <c r="B670">
        <v>1.5319</v>
      </c>
      <c r="C670">
        <f t="shared" si="50"/>
        <v>0.806165270517985</v>
      </c>
      <c r="D670">
        <f t="shared" si="51"/>
        <v>0.226879439195112</v>
      </c>
      <c r="E670">
        <f t="shared" si="52"/>
        <v>0.216483257869877</v>
      </c>
      <c r="F670">
        <f t="shared" si="54"/>
        <v>0.690595607852764</v>
      </c>
      <c r="G670">
        <f t="shared" si="53"/>
        <v>0.735924474900541</v>
      </c>
    </row>
    <row r="671" spans="1:7">
      <c r="A671" s="1">
        <v>39514</v>
      </c>
      <c r="B671">
        <v>1.5417</v>
      </c>
      <c r="C671">
        <f t="shared" si="50"/>
        <v>0.637690864764309</v>
      </c>
      <c r="D671">
        <f t="shared" si="51"/>
        <v>0.269181739614535</v>
      </c>
      <c r="E671">
        <f t="shared" si="52"/>
        <v>0.236989384567151</v>
      </c>
      <c r="F671">
        <f t="shared" si="54"/>
        <v>0.0991597703623919</v>
      </c>
      <c r="G671">
        <f t="shared" si="53"/>
        <v>0.138079094229467</v>
      </c>
    </row>
    <row r="672" spans="1:7">
      <c r="A672" s="1">
        <v>39517</v>
      </c>
      <c r="B672">
        <v>1.534</v>
      </c>
      <c r="C672">
        <f t="shared" si="50"/>
        <v>-0.500700073909211</v>
      </c>
      <c r="D672">
        <f t="shared" si="51"/>
        <v>0.282928529553466</v>
      </c>
      <c r="E672">
        <f t="shared" si="52"/>
        <v>0.244102503443315</v>
      </c>
      <c r="F672">
        <f t="shared" si="54"/>
        <v>-0.188234731491453</v>
      </c>
      <c r="G672">
        <f t="shared" si="53"/>
        <v>-0.191568584564475</v>
      </c>
    </row>
    <row r="673" spans="1:7">
      <c r="A673" s="1">
        <v>39518</v>
      </c>
      <c r="B673">
        <v>1.5379</v>
      </c>
      <c r="C673">
        <f t="shared" si="50"/>
        <v>0.253914651867624</v>
      </c>
      <c r="D673">
        <f t="shared" si="51"/>
        <v>0.279705732999389</v>
      </c>
      <c r="E673">
        <f t="shared" si="52"/>
        <v>0.24299138143735</v>
      </c>
      <c r="F673">
        <f t="shared" si="54"/>
        <v>-0.521757734797346</v>
      </c>
      <c r="G673">
        <f t="shared" si="53"/>
        <v>-0.574700171993992</v>
      </c>
    </row>
    <row r="674" spans="1:7">
      <c r="A674" s="1">
        <v>39519</v>
      </c>
      <c r="B674">
        <v>1.5477</v>
      </c>
      <c r="C674">
        <f t="shared" si="50"/>
        <v>0.635210847283617</v>
      </c>
      <c r="D674">
        <f t="shared" si="51"/>
        <v>0.258182424742755</v>
      </c>
      <c r="E674">
        <f t="shared" si="52"/>
        <v>0.232635531072762</v>
      </c>
      <c r="F674">
        <f t="shared" si="54"/>
        <v>0.104365880942922</v>
      </c>
      <c r="G674">
        <f t="shared" si="53"/>
        <v>0.13807981993953</v>
      </c>
    </row>
    <row r="675" spans="1:7">
      <c r="A675" s="1">
        <v>39520</v>
      </c>
      <c r="B675">
        <v>1.5577</v>
      </c>
      <c r="C675">
        <f t="shared" si="50"/>
        <v>0.644041641384617</v>
      </c>
      <c r="D675">
        <f t="shared" si="51"/>
        <v>0.272713464319157</v>
      </c>
      <c r="E675">
        <f t="shared" si="52"/>
        <v>0.239852040233735</v>
      </c>
      <c r="F675">
        <f t="shared" si="54"/>
        <v>0.110819361626777</v>
      </c>
      <c r="G675">
        <f t="shared" si="53"/>
        <v>0.150811625507347</v>
      </c>
    </row>
    <row r="676" spans="1:7">
      <c r="A676" s="1">
        <v>39521</v>
      </c>
      <c r="B676">
        <v>1.5561</v>
      </c>
      <c r="C676">
        <f t="shared" si="50"/>
        <v>-0.102768330709598</v>
      </c>
      <c r="D676">
        <f t="shared" si="51"/>
        <v>0.28692108147098</v>
      </c>
      <c r="E676">
        <f t="shared" si="52"/>
        <v>0.24720039961158</v>
      </c>
      <c r="F676">
        <f t="shared" si="54"/>
        <v>-0.605869449134294</v>
      </c>
      <c r="G676">
        <f t="shared" si="53"/>
        <v>-0.677416089937192</v>
      </c>
    </row>
    <row r="677" spans="1:7">
      <c r="A677" s="1">
        <v>39524</v>
      </c>
      <c r="B677">
        <v>1.577</v>
      </c>
      <c r="C677">
        <f t="shared" si="50"/>
        <v>1.33416169375741</v>
      </c>
      <c r="D677">
        <f t="shared" si="51"/>
        <v>0.259285106303566</v>
      </c>
      <c r="E677">
        <f t="shared" si="52"/>
        <v>0.233896442124727</v>
      </c>
      <c r="F677">
        <f t="shared" si="54"/>
        <v>2.75757717344931</v>
      </c>
      <c r="G677">
        <f t="shared" si="53"/>
        <v>3.07863748109654</v>
      </c>
    </row>
    <row r="678" spans="1:7">
      <c r="A678" s="1">
        <v>39525</v>
      </c>
      <c r="B678">
        <v>1.5771</v>
      </c>
      <c r="C678">
        <f t="shared" si="50"/>
        <v>0.00634095304736226</v>
      </c>
      <c r="D678">
        <f t="shared" si="51"/>
        <v>0.411355338182175</v>
      </c>
      <c r="E678">
        <f t="shared" si="52"/>
        <v>0.309862026851726</v>
      </c>
      <c r="F678">
        <f t="shared" si="54"/>
        <v>-0.444100061906513</v>
      </c>
      <c r="G678">
        <f t="shared" si="53"/>
        <v>-0.585749197642802</v>
      </c>
    </row>
    <row r="679" spans="1:7">
      <c r="A679" s="1">
        <v>39526</v>
      </c>
      <c r="B679">
        <v>1.5692</v>
      </c>
      <c r="C679">
        <f t="shared" si="50"/>
        <v>-0.502178215811455</v>
      </c>
      <c r="D679">
        <f t="shared" si="51"/>
        <v>0.370223825132512</v>
      </c>
      <c r="E679">
        <f t="shared" si="52"/>
        <v>0.2922723156249</v>
      </c>
      <c r="F679">
        <f t="shared" si="54"/>
        <v>-0.156242006424941</v>
      </c>
      <c r="G679">
        <f t="shared" si="53"/>
        <v>-0.183616859002221</v>
      </c>
    </row>
    <row r="680" spans="1:7">
      <c r="A680" s="1">
        <v>39527</v>
      </c>
      <c r="B680">
        <v>1.5423</v>
      </c>
      <c r="C680">
        <f t="shared" si="50"/>
        <v>-1.72911266058287</v>
      </c>
      <c r="D680">
        <f t="shared" si="51"/>
        <v>0.358419738662818</v>
      </c>
      <c r="E680">
        <f t="shared" si="52"/>
        <v>0.288345124709185</v>
      </c>
      <c r="F680">
        <f t="shared" si="54"/>
        <v>3.65782565678945</v>
      </c>
      <c r="G680">
        <f t="shared" si="53"/>
        <v>4.5626667271517</v>
      </c>
    </row>
    <row r="681" spans="1:7">
      <c r="A681" s="1">
        <v>39532</v>
      </c>
      <c r="B681">
        <v>1.5569</v>
      </c>
      <c r="C681">
        <f t="shared" si="50"/>
        <v>0.942185596606022</v>
      </c>
      <c r="D681">
        <f t="shared" si="51"/>
        <v>0.621560824095335</v>
      </c>
      <c r="E681">
        <f t="shared" si="52"/>
        <v>0.421535946876033</v>
      </c>
      <c r="F681">
        <f t="shared" si="54"/>
        <v>0.476339672819616</v>
      </c>
      <c r="G681">
        <f t="shared" si="53"/>
        <v>0.621026250618979</v>
      </c>
    </row>
    <row r="682" spans="1:7">
      <c r="A682" s="1">
        <v>39533</v>
      </c>
      <c r="B682">
        <v>1.571</v>
      </c>
      <c r="C682">
        <f t="shared" si="50"/>
        <v>0.901569455999223</v>
      </c>
      <c r="D682">
        <f t="shared" si="51"/>
        <v>0.648176111530986</v>
      </c>
      <c r="E682">
        <f t="shared" si="52"/>
        <v>0.441629474986064</v>
      </c>
      <c r="F682">
        <f t="shared" si="54"/>
        <v>0.410214872077733</v>
      </c>
      <c r="G682">
        <f t="shared" si="53"/>
        <v>0.511617529999367</v>
      </c>
    </row>
    <row r="683" spans="1:7">
      <c r="A683" s="1">
        <v>39534</v>
      </c>
      <c r="B683">
        <v>1.5786</v>
      </c>
      <c r="C683">
        <f t="shared" si="50"/>
        <v>0.482601901868099</v>
      </c>
      <c r="D683">
        <f t="shared" si="51"/>
        <v>0.664641248776961</v>
      </c>
      <c r="E683">
        <f t="shared" si="52"/>
        <v>0.456773080686436</v>
      </c>
      <c r="F683">
        <f t="shared" si="54"/>
        <v>-0.0290431704349781</v>
      </c>
      <c r="G683">
        <f t="shared" si="53"/>
        <v>-0.136838652808903</v>
      </c>
    </row>
    <row r="684" spans="1:7">
      <c r="A684" s="1">
        <v>39535</v>
      </c>
      <c r="B684">
        <v>1.5796</v>
      </c>
      <c r="C684">
        <f t="shared" si="50"/>
        <v>0.0633272138192278</v>
      </c>
      <c r="D684">
        <f t="shared" si="51"/>
        <v>0.621467583467936</v>
      </c>
      <c r="E684">
        <f t="shared" si="52"/>
        <v>0.442011925629586</v>
      </c>
      <c r="F684">
        <f t="shared" si="54"/>
        <v>-0.234609259384317</v>
      </c>
      <c r="G684">
        <f t="shared" si="53"/>
        <v>-0.403672751304476</v>
      </c>
    </row>
    <row r="685" spans="1:7">
      <c r="A685" s="1">
        <v>39538</v>
      </c>
      <c r="B685">
        <v>1.5812</v>
      </c>
      <c r="C685">
        <f t="shared" si="50"/>
        <v>0.101240201003612</v>
      </c>
      <c r="D685">
        <f t="shared" si="51"/>
        <v>0.559721858722153</v>
      </c>
      <c r="E685">
        <f t="shared" si="52"/>
        <v>0.416691726892316</v>
      </c>
      <c r="F685">
        <f t="shared" si="54"/>
        <v>-0.281001692962328</v>
      </c>
      <c r="G685">
        <f t="shared" si="53"/>
        <v>-0.425405543054311</v>
      </c>
    </row>
    <row r="686" spans="1:7">
      <c r="A686" s="1">
        <v>39539</v>
      </c>
      <c r="B686">
        <v>1.566</v>
      </c>
      <c r="C686">
        <f t="shared" si="50"/>
        <v>-0.9659454871782</v>
      </c>
      <c r="D686">
        <f t="shared" si="51"/>
        <v>0.504774630679863</v>
      </c>
      <c r="E686">
        <f t="shared" si="52"/>
        <v>0.393202702193739</v>
      </c>
      <c r="F686">
        <f t="shared" si="54"/>
        <v>0.582403405348868</v>
      </c>
      <c r="G686">
        <f t="shared" si="53"/>
        <v>0.719760413001833</v>
      </c>
    </row>
    <row r="687" spans="1:7">
      <c r="A687" s="1">
        <v>39540</v>
      </c>
      <c r="B687">
        <v>1.5632</v>
      </c>
      <c r="C687">
        <f t="shared" si="50"/>
        <v>-0.178959526223016</v>
      </c>
      <c r="D687">
        <f t="shared" si="51"/>
        <v>0.547602236031869</v>
      </c>
      <c r="E687">
        <f t="shared" si="52"/>
        <v>0.417263074272111</v>
      </c>
      <c r="F687">
        <f t="shared" si="54"/>
        <v>-0.27186055545835</v>
      </c>
      <c r="G687">
        <f t="shared" si="53"/>
        <v>-0.398642308677097</v>
      </c>
    </row>
    <row r="688" spans="1:7">
      <c r="A688" s="1">
        <v>39541</v>
      </c>
      <c r="B688">
        <v>1.5526</v>
      </c>
      <c r="C688">
        <f t="shared" si="50"/>
        <v>-0.680405731693828</v>
      </c>
      <c r="D688">
        <f t="shared" si="51"/>
        <v>0.496044663631279</v>
      </c>
      <c r="E688">
        <f t="shared" si="52"/>
        <v>0.394828615417083</v>
      </c>
      <c r="F688">
        <f t="shared" si="54"/>
        <v>0.116098768793479</v>
      </c>
      <c r="G688">
        <f t="shared" si="53"/>
        <v>0.12161776581933</v>
      </c>
    </row>
    <row r="689" spans="1:7">
      <c r="A689" s="1">
        <v>39542</v>
      </c>
      <c r="B689">
        <v>1.5722</v>
      </c>
      <c r="C689">
        <f t="shared" si="50"/>
        <v>1.25449673880763</v>
      </c>
      <c r="D689">
        <f t="shared" si="51"/>
        <v>0.492735393240332</v>
      </c>
      <c r="E689">
        <f t="shared" si="52"/>
        <v>0.395286496478149</v>
      </c>
      <c r="F689">
        <f t="shared" si="54"/>
        <v>1.2430732205494</v>
      </c>
      <c r="G689">
        <f t="shared" si="53"/>
        <v>1.52658780767547</v>
      </c>
    </row>
    <row r="690" spans="1:7">
      <c r="A690" s="1">
        <v>39545</v>
      </c>
      <c r="B690">
        <v>1.5693</v>
      </c>
      <c r="C690">
        <f t="shared" si="50"/>
        <v>-0.184625231498108</v>
      </c>
      <c r="D690">
        <f t="shared" si="51"/>
        <v>0.600838060684196</v>
      </c>
      <c r="E690">
        <f t="shared" si="52"/>
        <v>0.451257410073408</v>
      </c>
      <c r="F690">
        <f t="shared" si="54"/>
        <v>-0.226349138914331</v>
      </c>
      <c r="G690">
        <f t="shared" si="53"/>
        <v>-0.360090345735528</v>
      </c>
    </row>
    <row r="691" spans="1:7">
      <c r="A691" s="1">
        <v>39546</v>
      </c>
      <c r="B691">
        <v>1.5694</v>
      </c>
      <c r="C691">
        <f t="shared" si="50"/>
        <v>0.00637206486976554</v>
      </c>
      <c r="D691">
        <f t="shared" si="51"/>
        <v>0.54416290222635</v>
      </c>
      <c r="E691">
        <f t="shared" si="52"/>
        <v>0.42688628927429</v>
      </c>
      <c r="F691">
        <f t="shared" si="54"/>
        <v>-0.304216004210087</v>
      </c>
      <c r="G691">
        <f t="shared" si="53"/>
        <v>-0.425571243933882</v>
      </c>
    </row>
    <row r="692" spans="1:7">
      <c r="A692" s="1">
        <v>39547</v>
      </c>
      <c r="B692">
        <v>1.5726</v>
      </c>
      <c r="C692">
        <f t="shared" si="50"/>
        <v>0.203691986404287</v>
      </c>
      <c r="D692">
        <f t="shared" si="51"/>
        <v>0.489750672324785</v>
      </c>
      <c r="E692">
        <f t="shared" si="52"/>
        <v>0.402275142078368</v>
      </c>
      <c r="F692">
        <f t="shared" si="54"/>
        <v>-0.314570702511096</v>
      </c>
      <c r="G692">
        <f t="shared" si="53"/>
        <v>-0.4037397851147</v>
      </c>
    </row>
    <row r="693" spans="1:7">
      <c r="A693" s="1">
        <v>39548</v>
      </c>
      <c r="B693">
        <v>1.5875</v>
      </c>
      <c r="C693">
        <f t="shared" si="50"/>
        <v>0.943015120943103</v>
      </c>
      <c r="D693">
        <f t="shared" si="51"/>
        <v>0.444924647624839</v>
      </c>
      <c r="E693">
        <f t="shared" si="52"/>
        <v>0.381213154819932</v>
      </c>
      <c r="F693">
        <f t="shared" si="54"/>
        <v>0.594432274048191</v>
      </c>
      <c r="G693">
        <f t="shared" si="53"/>
        <v>0.684180020804441</v>
      </c>
    </row>
    <row r="694" spans="1:7">
      <c r="A694" s="1">
        <v>39549</v>
      </c>
      <c r="B694">
        <v>1.5833</v>
      </c>
      <c r="C694">
        <f t="shared" si="50"/>
        <v>-0.264917525945822</v>
      </c>
      <c r="D694">
        <f t="shared" si="51"/>
        <v>0.489359934695089</v>
      </c>
      <c r="E694">
        <f t="shared" si="52"/>
        <v>0.403804241447103</v>
      </c>
      <c r="F694">
        <f t="shared" si="54"/>
        <v>-0.285621263871624</v>
      </c>
      <c r="G694">
        <f t="shared" si="53"/>
        <v>-0.366512388070605</v>
      </c>
    </row>
    <row r="695" spans="1:7">
      <c r="A695" s="1">
        <v>39552</v>
      </c>
      <c r="B695">
        <v>1.5869</v>
      </c>
      <c r="C695">
        <f t="shared" si="50"/>
        <v>0.227115106140822</v>
      </c>
      <c r="D695">
        <f t="shared" si="51"/>
        <v>0.447442070780905</v>
      </c>
      <c r="E695">
        <f t="shared" si="52"/>
        <v>0.38408505173794</v>
      </c>
      <c r="F695">
        <f t="shared" si="54"/>
        <v>-0.344463933127264</v>
      </c>
      <c r="G695">
        <f t="shared" si="53"/>
        <v>-0.411297389748713</v>
      </c>
    </row>
    <row r="696" spans="1:7">
      <c r="A696" s="1">
        <v>39553</v>
      </c>
      <c r="B696">
        <v>1.5828</v>
      </c>
      <c r="C696">
        <f t="shared" si="50"/>
        <v>-0.258699705752738</v>
      </c>
      <c r="D696">
        <f t="shared" si="51"/>
        <v>0.407855990846551</v>
      </c>
      <c r="E696">
        <f t="shared" si="52"/>
        <v>0.364619012205531</v>
      </c>
      <c r="F696">
        <f t="shared" si="54"/>
        <v>-0.366375015766468</v>
      </c>
      <c r="G696">
        <f t="shared" si="53"/>
        <v>-0.412676522972768</v>
      </c>
    </row>
    <row r="697" spans="1:7">
      <c r="A697" s="1">
        <v>39554</v>
      </c>
      <c r="B697">
        <v>1.5928</v>
      </c>
      <c r="C697">
        <f t="shared" si="50"/>
        <v>0.629804323871741</v>
      </c>
      <c r="D697">
        <f t="shared" si="51"/>
        <v>0.373762945537551</v>
      </c>
      <c r="E697">
        <f t="shared" si="52"/>
        <v>0.347088148361027</v>
      </c>
      <c r="F697">
        <f t="shared" si="54"/>
        <v>0.0385549774616081</v>
      </c>
      <c r="G697">
        <f t="shared" si="53"/>
        <v>0.0423134065272556</v>
      </c>
    </row>
    <row r="698" spans="1:7">
      <c r="A698" s="1">
        <v>39555</v>
      </c>
      <c r="B698">
        <v>1.5872</v>
      </c>
      <c r="C698">
        <f t="shared" si="50"/>
        <v>-0.352201621937817</v>
      </c>
      <c r="D698">
        <f t="shared" si="51"/>
        <v>0.37605199962055</v>
      </c>
      <c r="E698">
        <f t="shared" si="52"/>
        <v>0.347095533777742</v>
      </c>
      <c r="F698">
        <f t="shared" si="54"/>
        <v>-0.324081969760578</v>
      </c>
      <c r="G698">
        <f t="shared" si="53"/>
        <v>-0.350386199094701</v>
      </c>
    </row>
    <row r="699" spans="1:7">
      <c r="A699" s="1">
        <v>39556</v>
      </c>
      <c r="B699">
        <v>1.578</v>
      </c>
      <c r="C699">
        <f t="shared" si="50"/>
        <v>-0.581323512478874</v>
      </c>
      <c r="D699">
        <f t="shared" si="51"/>
        <v>0.350851397908058</v>
      </c>
      <c r="E699">
        <f t="shared" si="52"/>
        <v>0.333472100875859</v>
      </c>
      <c r="F699">
        <f t="shared" si="54"/>
        <v>-0.0421005892246176</v>
      </c>
      <c r="G699">
        <f t="shared" si="53"/>
        <v>-0.0424034353878049</v>
      </c>
    </row>
    <row r="700" spans="1:7">
      <c r="A700" s="1">
        <v>39559</v>
      </c>
      <c r="B700">
        <v>1.5898</v>
      </c>
      <c r="C700">
        <f t="shared" si="50"/>
        <v>0.744999973319264</v>
      </c>
      <c r="D700">
        <f t="shared" si="51"/>
        <v>0.34955996073333</v>
      </c>
      <c r="E700">
        <f t="shared" si="52"/>
        <v>0.331360626131346</v>
      </c>
      <c r="F700">
        <f t="shared" si="54"/>
        <v>0.268350838444871</v>
      </c>
      <c r="G700">
        <f t="shared" si="53"/>
        <v>0.285219834824751</v>
      </c>
    </row>
    <row r="701" spans="1:7">
      <c r="A701" s="1">
        <v>39560</v>
      </c>
      <c r="B701">
        <v>1.5931</v>
      </c>
      <c r="C701">
        <f t="shared" si="50"/>
        <v>0.207358143983683</v>
      </c>
      <c r="D701">
        <f t="shared" si="51"/>
        <v>0.370106460684567</v>
      </c>
      <c r="E701">
        <f t="shared" si="52"/>
        <v>0.340230236575751</v>
      </c>
      <c r="F701">
        <f t="shared" si="54"/>
        <v>-0.438894410865554</v>
      </c>
      <c r="G701">
        <f t="shared" si="53"/>
        <v>-0.475877680918471</v>
      </c>
    </row>
    <row r="702" spans="1:7">
      <c r="A702" s="1">
        <v>39561</v>
      </c>
      <c r="B702">
        <v>1.594</v>
      </c>
      <c r="C702">
        <f t="shared" si="50"/>
        <v>0.0564776771311218</v>
      </c>
      <c r="D702">
        <f t="shared" si="51"/>
        <v>0.337395554603746</v>
      </c>
      <c r="E702">
        <f t="shared" si="52"/>
        <v>0.322966292375024</v>
      </c>
      <c r="F702">
        <f t="shared" si="54"/>
        <v>-0.538522656368688</v>
      </c>
      <c r="G702">
        <f t="shared" si="53"/>
        <v>-0.560165484786107</v>
      </c>
    </row>
    <row r="703" spans="1:7">
      <c r="A703" s="1">
        <v>39562</v>
      </c>
      <c r="B703">
        <v>1.5769</v>
      </c>
      <c r="C703">
        <f t="shared" si="50"/>
        <v>-1.07856859386192</v>
      </c>
      <c r="D703">
        <f t="shared" si="51"/>
        <v>0.303974971944784</v>
      </c>
      <c r="E703">
        <f t="shared" si="52"/>
        <v>0.304747801233229</v>
      </c>
      <c r="F703">
        <f t="shared" si="54"/>
        <v>1.31809174539279</v>
      </c>
      <c r="G703">
        <f t="shared" si="53"/>
        <v>1.31450877991066</v>
      </c>
    </row>
    <row r="704" spans="1:7">
      <c r="A704" s="1">
        <v>39563</v>
      </c>
      <c r="B704">
        <v>1.5596</v>
      </c>
      <c r="C704">
        <f t="shared" si="50"/>
        <v>-1.10315163030989</v>
      </c>
      <c r="D704">
        <f t="shared" si="51"/>
        <v>0.389908495916834</v>
      </c>
      <c r="E704">
        <f t="shared" si="52"/>
        <v>0.345628443742499</v>
      </c>
      <c r="F704">
        <f t="shared" si="54"/>
        <v>1.08962854809174</v>
      </c>
      <c r="G704">
        <f t="shared" si="53"/>
        <v>1.22928394144673</v>
      </c>
    </row>
    <row r="705" spans="1:7">
      <c r="A705" s="1">
        <v>39566</v>
      </c>
      <c r="B705">
        <v>1.5628</v>
      </c>
      <c r="C705">
        <f t="shared" si="50"/>
        <v>0.204970607247315</v>
      </c>
      <c r="D705">
        <f t="shared" si="51"/>
        <v>0.472611998270687</v>
      </c>
      <c r="E705">
        <f t="shared" si="52"/>
        <v>0.386737913090717</v>
      </c>
      <c r="F705">
        <f t="shared" si="54"/>
        <v>-0.330292650973375</v>
      </c>
      <c r="G705">
        <f t="shared" si="53"/>
        <v>-0.420686939317219</v>
      </c>
    </row>
    <row r="706" spans="1:7">
      <c r="A706" s="1">
        <v>39567</v>
      </c>
      <c r="B706">
        <v>1.5571</v>
      </c>
      <c r="C706">
        <f t="shared" si="50"/>
        <v>-0.365396733353659</v>
      </c>
      <c r="D706">
        <f t="shared" si="51"/>
        <v>0.429552093427152</v>
      </c>
      <c r="E706">
        <f t="shared" si="52"/>
        <v>0.366634285797041</v>
      </c>
      <c r="F706">
        <f t="shared" si="54"/>
        <v>-0.267094508981432</v>
      </c>
      <c r="G706">
        <f t="shared" si="53"/>
        <v>-0.319613533015204</v>
      </c>
    </row>
    <row r="707" spans="1:7">
      <c r="A707" s="1">
        <v>39568</v>
      </c>
      <c r="B707">
        <v>1.554</v>
      </c>
      <c r="C707">
        <f t="shared" si="50"/>
        <v>-0.199286491978622</v>
      </c>
      <c r="D707">
        <f t="shared" si="51"/>
        <v>0.399948361358989</v>
      </c>
      <c r="E707">
        <f t="shared" si="52"/>
        <v>0.352311967286494</v>
      </c>
      <c r="F707">
        <f t="shared" si="54"/>
        <v>-0.408559626364735</v>
      </c>
      <c r="G707">
        <f t="shared" si="53"/>
        <v>-0.465255563279436</v>
      </c>
    </row>
    <row r="708" spans="1:7">
      <c r="A708" s="1">
        <v>39570</v>
      </c>
      <c r="B708">
        <v>1.5458</v>
      </c>
      <c r="C708">
        <f t="shared" ref="C708:C771" si="55">100*LN(B708/B707)</f>
        <v>-0.529067625482217</v>
      </c>
      <c r="D708">
        <f t="shared" si="51"/>
        <v>0.363925035811604</v>
      </c>
      <c r="E708">
        <f t="shared" si="52"/>
        <v>0.334159004543562</v>
      </c>
      <c r="F708">
        <f t="shared" si="54"/>
        <v>-0.120829223461094</v>
      </c>
      <c r="G708">
        <f t="shared" si="53"/>
        <v>-0.12923779142041</v>
      </c>
    </row>
    <row r="709" spans="1:7">
      <c r="A709" s="1">
        <v>39573</v>
      </c>
      <c r="B709">
        <v>1.546</v>
      </c>
      <c r="C709">
        <f t="shared" si="55"/>
        <v>0.0129374474596645</v>
      </c>
      <c r="D709">
        <f t="shared" ref="D709:D772" si="56">$J$1*D708+(1-$J$1)*C708^2</f>
        <v>0.355523787463783</v>
      </c>
      <c r="E709">
        <f t="shared" ref="E709:E772" si="57">$K$1+$K$2*C708^2+$K$3*E708</f>
        <v>0.329105091887618</v>
      </c>
      <c r="F709">
        <f t="shared" si="54"/>
        <v>-0.516846163932972</v>
      </c>
      <c r="G709">
        <f t="shared" ref="G709:G772" si="58">0.5*(LN(E709)+C709^2/E709)</f>
        <v>-0.555434783553269</v>
      </c>
    </row>
    <row r="710" spans="1:7">
      <c r="A710" s="1">
        <v>39574</v>
      </c>
      <c r="B710">
        <v>1.5528</v>
      </c>
      <c r="C710">
        <f t="shared" si="55"/>
        <v>0.438880270743311</v>
      </c>
      <c r="D710">
        <f t="shared" si="56"/>
        <v>0.319988146472082</v>
      </c>
      <c r="E710">
        <f t="shared" si="57"/>
        <v>0.310367155251699</v>
      </c>
      <c r="F710">
        <f t="shared" si="54"/>
        <v>-0.26876218300769</v>
      </c>
      <c r="G710">
        <f t="shared" si="58"/>
        <v>-0.274696376090757</v>
      </c>
    </row>
    <row r="711" spans="1:7">
      <c r="A711" s="1">
        <v>39575</v>
      </c>
      <c r="B711">
        <v>1.543</v>
      </c>
      <c r="C711">
        <f t="shared" si="55"/>
        <v>-0.633117949163972</v>
      </c>
      <c r="D711">
        <f t="shared" si="56"/>
        <v>0.307250921029646</v>
      </c>
      <c r="E711">
        <f t="shared" si="57"/>
        <v>0.302375920538983</v>
      </c>
      <c r="F711">
        <f t="shared" ref="F711:F774" si="59">0.5*(LN(D711)+C711^2/D711)</f>
        <v>0.0622527579382243</v>
      </c>
      <c r="G711">
        <f t="shared" si="58"/>
        <v>0.0647724471614712</v>
      </c>
    </row>
    <row r="712" spans="1:7">
      <c r="A712" s="1">
        <v>39576</v>
      </c>
      <c r="B712">
        <v>1.5347</v>
      </c>
      <c r="C712">
        <f t="shared" si="55"/>
        <v>-0.53936511821116</v>
      </c>
      <c r="D712">
        <f t="shared" si="56"/>
        <v>0.316609662682041</v>
      </c>
      <c r="E712">
        <f t="shared" si="57"/>
        <v>0.305275282184324</v>
      </c>
      <c r="F712">
        <f t="shared" si="59"/>
        <v>-0.115621055684008</v>
      </c>
      <c r="G712">
        <f t="shared" si="58"/>
        <v>-0.116791331147568</v>
      </c>
    </row>
    <row r="713" spans="1:7">
      <c r="A713" s="1">
        <v>39577</v>
      </c>
      <c r="B713">
        <v>1.5458</v>
      </c>
      <c r="C713">
        <f t="shared" si="55"/>
        <v>0.72066534917214</v>
      </c>
      <c r="D713">
        <f t="shared" si="56"/>
        <v>0.314040169488131</v>
      </c>
      <c r="E713">
        <f t="shared" si="57"/>
        <v>0.302504501790412</v>
      </c>
      <c r="F713">
        <f t="shared" si="59"/>
        <v>0.247781083169888</v>
      </c>
      <c r="G713">
        <f t="shared" si="58"/>
        <v>0.260601541889852</v>
      </c>
    </row>
    <row r="714" spans="1:7">
      <c r="A714" s="1">
        <v>39580</v>
      </c>
      <c r="B714">
        <v>1.543</v>
      </c>
      <c r="C714">
        <f t="shared" si="55"/>
        <v>-0.181300230960982</v>
      </c>
      <c r="D714">
        <f t="shared" si="56"/>
        <v>0.334572007089058</v>
      </c>
      <c r="E714">
        <f t="shared" si="57"/>
        <v>0.311322158957857</v>
      </c>
      <c r="F714">
        <f t="shared" si="59"/>
        <v>-0.49832945560487</v>
      </c>
      <c r="G714">
        <f t="shared" si="58"/>
        <v>-0.530672900404441</v>
      </c>
    </row>
    <row r="715" spans="1:7">
      <c r="A715" s="1">
        <v>39581</v>
      </c>
      <c r="B715">
        <v>1.5473</v>
      </c>
      <c r="C715">
        <f t="shared" si="55"/>
        <v>0.278290313246608</v>
      </c>
      <c r="D715">
        <f t="shared" si="56"/>
        <v>0.304401783754802</v>
      </c>
      <c r="E715">
        <f t="shared" si="57"/>
        <v>0.295286318107711</v>
      </c>
      <c r="F715">
        <f t="shared" si="59"/>
        <v>-0.467494059125525</v>
      </c>
      <c r="G715">
        <f t="shared" si="58"/>
        <v>-0.478768631972631</v>
      </c>
    </row>
    <row r="716" spans="1:7">
      <c r="A716" s="1">
        <v>39582</v>
      </c>
      <c r="B716">
        <v>1.5439</v>
      </c>
      <c r="C716">
        <f t="shared" si="55"/>
        <v>-0.219979384774588</v>
      </c>
      <c r="D716">
        <f t="shared" si="56"/>
        <v>0.281706155224012</v>
      </c>
      <c r="E716">
        <f t="shared" si="57"/>
        <v>0.282441413943593</v>
      </c>
      <c r="F716">
        <f t="shared" si="59"/>
        <v>-0.547556359646128</v>
      </c>
      <c r="G716">
        <f t="shared" si="58"/>
        <v>-0.546476638192609</v>
      </c>
    </row>
    <row r="717" spans="1:7">
      <c r="A717" s="1">
        <v>39583</v>
      </c>
      <c r="B717">
        <v>1.5474</v>
      </c>
      <c r="C717">
        <f t="shared" si="55"/>
        <v>0.226442046747312</v>
      </c>
      <c r="D717">
        <f t="shared" si="56"/>
        <v>0.258374632674191</v>
      </c>
      <c r="E717">
        <f t="shared" si="57"/>
        <v>0.268914475593268</v>
      </c>
      <c r="F717">
        <f t="shared" si="59"/>
        <v>-0.577444332750269</v>
      </c>
      <c r="G717">
        <f t="shared" si="58"/>
        <v>-0.561342079561421</v>
      </c>
    </row>
    <row r="718" spans="1:7">
      <c r="A718" s="1">
        <v>39584</v>
      </c>
      <c r="B718">
        <v>1.5498</v>
      </c>
      <c r="C718">
        <f t="shared" si="55"/>
        <v>0.154978721449574</v>
      </c>
      <c r="D718">
        <f t="shared" si="56"/>
        <v>0.237664769460283</v>
      </c>
      <c r="E718">
        <f t="shared" si="57"/>
        <v>0.256343407084427</v>
      </c>
      <c r="F718">
        <f t="shared" si="59"/>
        <v>-0.667917059691147</v>
      </c>
      <c r="G718">
        <f t="shared" si="58"/>
        <v>-0.633770547869969</v>
      </c>
    </row>
    <row r="719" spans="1:7">
      <c r="A719" s="1">
        <v>39587</v>
      </c>
      <c r="B719">
        <v>1.5577</v>
      </c>
      <c r="C719">
        <f t="shared" si="55"/>
        <v>0.508448400271046</v>
      </c>
      <c r="D719">
        <f t="shared" si="56"/>
        <v>0.216300132924469</v>
      </c>
      <c r="E719">
        <f t="shared" si="57"/>
        <v>0.243163722864469</v>
      </c>
      <c r="F719">
        <f t="shared" si="59"/>
        <v>-0.167949119815524</v>
      </c>
      <c r="G719">
        <f t="shared" si="58"/>
        <v>-0.175434610553774</v>
      </c>
    </row>
    <row r="720" spans="1:7">
      <c r="A720" s="1">
        <v>39588</v>
      </c>
      <c r="B720">
        <v>1.5639</v>
      </c>
      <c r="C720">
        <f t="shared" si="55"/>
        <v>0.397232710960982</v>
      </c>
      <c r="D720">
        <f t="shared" si="56"/>
        <v>0.220522097205841</v>
      </c>
      <c r="E720">
        <f t="shared" si="57"/>
        <v>0.24249988827951</v>
      </c>
      <c r="F720">
        <f t="shared" si="59"/>
        <v>-0.398105410694747</v>
      </c>
      <c r="G720">
        <f t="shared" si="58"/>
        <v>-0.3830287685641</v>
      </c>
    </row>
    <row r="721" spans="1:7">
      <c r="A721" s="1">
        <v>39589</v>
      </c>
      <c r="B721">
        <v>1.5753</v>
      </c>
      <c r="C721">
        <f t="shared" si="55"/>
        <v>0.726302886975334</v>
      </c>
      <c r="D721">
        <f t="shared" si="56"/>
        <v>0.214249270150998</v>
      </c>
      <c r="E721">
        <f t="shared" si="57"/>
        <v>0.23683958631561</v>
      </c>
      <c r="F721">
        <f t="shared" si="59"/>
        <v>0.460772204086009</v>
      </c>
      <c r="G721">
        <f t="shared" si="58"/>
        <v>0.393470378570924</v>
      </c>
    </row>
    <row r="722" spans="1:7">
      <c r="A722" s="1">
        <v>39590</v>
      </c>
      <c r="B722">
        <v>1.5755</v>
      </c>
      <c r="C722">
        <f t="shared" si="55"/>
        <v>0.0126951885405959</v>
      </c>
      <c r="D722">
        <f t="shared" si="56"/>
        <v>0.245575931498769</v>
      </c>
      <c r="E722">
        <f t="shared" si="57"/>
        <v>0.250005005318109</v>
      </c>
      <c r="F722">
        <f t="shared" si="59"/>
        <v>-0.701746400623246</v>
      </c>
      <c r="G722">
        <f t="shared" si="58"/>
        <v>-0.692814840853217</v>
      </c>
    </row>
    <row r="723" spans="1:7">
      <c r="A723" s="1">
        <v>39591</v>
      </c>
      <c r="B723">
        <v>1.5742</v>
      </c>
      <c r="C723">
        <f t="shared" si="55"/>
        <v>-0.0825475488979387</v>
      </c>
      <c r="D723">
        <f t="shared" si="56"/>
        <v>0.2210344551301</v>
      </c>
      <c r="E723">
        <f t="shared" si="57"/>
        <v>0.236012763389626</v>
      </c>
      <c r="F723">
        <f t="shared" si="59"/>
        <v>-0.739304234244894</v>
      </c>
      <c r="G723">
        <f t="shared" si="58"/>
        <v>-0.707498829409695</v>
      </c>
    </row>
    <row r="724" spans="1:7">
      <c r="A724" s="1">
        <v>39594</v>
      </c>
      <c r="B724">
        <v>1.5761</v>
      </c>
      <c r="C724">
        <f t="shared" si="55"/>
        <v>0.120623447314552</v>
      </c>
      <c r="D724">
        <f t="shared" si="56"/>
        <v>0.199612419399996</v>
      </c>
      <c r="E724">
        <f t="shared" si="57"/>
        <v>0.223192702477701</v>
      </c>
      <c r="F724">
        <f t="shared" si="59"/>
        <v>-0.769243179523787</v>
      </c>
      <c r="G724">
        <f t="shared" si="58"/>
        <v>-0.717264684343524</v>
      </c>
    </row>
    <row r="725" spans="1:7">
      <c r="A725" s="1">
        <v>39595</v>
      </c>
      <c r="B725">
        <v>1.576</v>
      </c>
      <c r="C725">
        <f t="shared" si="55"/>
        <v>-0.00634497636709501</v>
      </c>
      <c r="D725">
        <f t="shared" si="56"/>
        <v>0.181106179064201</v>
      </c>
      <c r="E725">
        <f t="shared" si="57"/>
        <v>0.211528641131142</v>
      </c>
      <c r="F725">
        <f t="shared" si="59"/>
        <v>-0.854224750778238</v>
      </c>
      <c r="G725">
        <f t="shared" si="58"/>
        <v>-0.776602273897837</v>
      </c>
    </row>
    <row r="726" spans="1:7">
      <c r="A726" s="1">
        <v>39596</v>
      </c>
      <c r="B726">
        <v>1.5656</v>
      </c>
      <c r="C726">
        <f t="shared" si="55"/>
        <v>-0.662085433595797</v>
      </c>
      <c r="D726">
        <f t="shared" si="56"/>
        <v>0.162999587030291</v>
      </c>
      <c r="E726">
        <f t="shared" si="57"/>
        <v>0.199838935599528</v>
      </c>
      <c r="F726">
        <f t="shared" si="59"/>
        <v>0.43765334746093</v>
      </c>
      <c r="G726">
        <f t="shared" si="58"/>
        <v>0.291654281901985</v>
      </c>
    </row>
    <row r="727" spans="1:7">
      <c r="A727" s="1">
        <v>39597</v>
      </c>
      <c r="B727">
        <v>1.5551</v>
      </c>
      <c r="C727">
        <f t="shared" si="55"/>
        <v>-0.672928485457465</v>
      </c>
      <c r="D727">
        <f t="shared" si="56"/>
        <v>0.190535340465235</v>
      </c>
      <c r="E727">
        <f t="shared" si="57"/>
        <v>0.210766455532543</v>
      </c>
      <c r="F727">
        <f t="shared" si="59"/>
        <v>0.359358149079526</v>
      </c>
      <c r="G727">
        <f t="shared" si="58"/>
        <v>0.295750110051137</v>
      </c>
    </row>
    <row r="728" spans="1:7">
      <c r="A728" s="1">
        <v>39598</v>
      </c>
      <c r="B728">
        <v>1.5508</v>
      </c>
      <c r="C728">
        <f t="shared" si="55"/>
        <v>-0.276892543051778</v>
      </c>
      <c r="D728">
        <f t="shared" si="56"/>
        <v>0.216765081072719</v>
      </c>
      <c r="E728">
        <f t="shared" si="57"/>
        <v>0.221762105527594</v>
      </c>
      <c r="F728">
        <f t="shared" si="59"/>
        <v>-0.587621302149276</v>
      </c>
      <c r="G728">
        <f t="shared" si="58"/>
        <v>-0.580210783532192</v>
      </c>
    </row>
    <row r="729" spans="1:7">
      <c r="A729" s="1">
        <v>39601</v>
      </c>
      <c r="B729">
        <v>1.5521</v>
      </c>
      <c r="C729">
        <f t="shared" si="55"/>
        <v>0.0837925860364745</v>
      </c>
      <c r="D729">
        <f t="shared" si="56"/>
        <v>0.202755521005215</v>
      </c>
      <c r="E729">
        <f t="shared" si="57"/>
        <v>0.213289853215823</v>
      </c>
      <c r="F729">
        <f t="shared" si="59"/>
        <v>-0.780562735734427</v>
      </c>
      <c r="G729">
        <f t="shared" si="58"/>
        <v>-0.756092326361416</v>
      </c>
    </row>
    <row r="730" spans="1:7">
      <c r="A730" s="1">
        <v>39602</v>
      </c>
      <c r="B730">
        <v>1.5593</v>
      </c>
      <c r="C730">
        <f t="shared" si="55"/>
        <v>0.462814993370089</v>
      </c>
      <c r="D730">
        <f t="shared" si="56"/>
        <v>0.183182088652162</v>
      </c>
      <c r="E730">
        <f t="shared" si="57"/>
        <v>0.201843521896607</v>
      </c>
      <c r="F730">
        <f t="shared" si="59"/>
        <v>-0.263979379835479</v>
      </c>
      <c r="G730">
        <f t="shared" si="58"/>
        <v>-0.269527862638267</v>
      </c>
    </row>
    <row r="731" spans="1:7">
      <c r="A731" s="1">
        <v>39603</v>
      </c>
      <c r="B731">
        <v>1.5466</v>
      </c>
      <c r="C731">
        <f t="shared" si="55"/>
        <v>-0.817802941590467</v>
      </c>
      <c r="D731">
        <f t="shared" si="56"/>
        <v>0.186283651595761</v>
      </c>
      <c r="E731">
        <f t="shared" si="57"/>
        <v>0.201442796487219</v>
      </c>
      <c r="F731">
        <f t="shared" si="59"/>
        <v>0.954873954297617</v>
      </c>
      <c r="G731">
        <f t="shared" si="58"/>
        <v>0.858903797075952</v>
      </c>
    </row>
    <row r="732" spans="1:7">
      <c r="A732" s="1">
        <v>39604</v>
      </c>
      <c r="B732">
        <v>1.5402</v>
      </c>
      <c r="C732">
        <f t="shared" si="55"/>
        <v>-0.414669506978529</v>
      </c>
      <c r="D732">
        <f t="shared" si="56"/>
        <v>0.234535451563587</v>
      </c>
      <c r="E732">
        <f t="shared" si="57"/>
        <v>0.223796311261687</v>
      </c>
      <c r="F732">
        <f t="shared" si="59"/>
        <v>-0.358496844659435</v>
      </c>
      <c r="G732">
        <f t="shared" si="58"/>
        <v>-0.364341399192547</v>
      </c>
    </row>
    <row r="733" spans="1:7">
      <c r="A733" s="1">
        <v>39605</v>
      </c>
      <c r="B733">
        <v>1.5597</v>
      </c>
      <c r="C733">
        <f t="shared" si="55"/>
        <v>1.25812169526301</v>
      </c>
      <c r="D733">
        <f t="shared" si="56"/>
        <v>0.22827698640901</v>
      </c>
      <c r="E733">
        <f t="shared" si="57"/>
        <v>0.219966072586876</v>
      </c>
      <c r="F733">
        <f t="shared" si="59"/>
        <v>2.72839692403996</v>
      </c>
      <c r="G733">
        <f t="shared" si="58"/>
        <v>2.84084615835359</v>
      </c>
    </row>
    <row r="734" spans="1:7">
      <c r="A734" s="1">
        <v>39608</v>
      </c>
      <c r="B734">
        <v>1.5784</v>
      </c>
      <c r="C734">
        <f t="shared" si="55"/>
        <v>1.19181806506258</v>
      </c>
      <c r="D734">
        <f t="shared" si="56"/>
        <v>0.363736307777257</v>
      </c>
      <c r="E734">
        <f t="shared" si="57"/>
        <v>0.286911618236237</v>
      </c>
      <c r="F734">
        <f t="shared" si="59"/>
        <v>1.44689195857006</v>
      </c>
      <c r="G734">
        <f t="shared" si="58"/>
        <v>1.85108901134021</v>
      </c>
    </row>
    <row r="735" spans="1:7">
      <c r="A735" s="1">
        <v>39609</v>
      </c>
      <c r="B735">
        <v>1.5526</v>
      </c>
      <c r="C735">
        <f t="shared" si="55"/>
        <v>-1.64807307368257</v>
      </c>
      <c r="D735">
        <f t="shared" si="56"/>
        <v>0.469405707020482</v>
      </c>
      <c r="E735">
        <f t="shared" si="57"/>
        <v>0.341718436152539</v>
      </c>
      <c r="F735">
        <f t="shared" si="59"/>
        <v>2.51503016878722</v>
      </c>
      <c r="G735">
        <f t="shared" si="58"/>
        <v>3.43735986824818</v>
      </c>
    </row>
    <row r="736" spans="1:7">
      <c r="A736" s="1">
        <v>39610</v>
      </c>
      <c r="B736">
        <v>1.5515</v>
      </c>
      <c r="C736">
        <f t="shared" si="55"/>
        <v>-0.0708740083144965</v>
      </c>
      <c r="D736">
        <f t="shared" si="56"/>
        <v>0.694079621938186</v>
      </c>
      <c r="E736">
        <f t="shared" si="57"/>
        <v>0.458022572793262</v>
      </c>
      <c r="F736">
        <f t="shared" si="59"/>
        <v>-0.178965746994487</v>
      </c>
      <c r="G736">
        <f t="shared" si="58"/>
        <v>-0.384934914534213</v>
      </c>
    </row>
    <row r="737" spans="1:7">
      <c r="A737" s="1">
        <v>39611</v>
      </c>
      <c r="B737">
        <v>1.5417</v>
      </c>
      <c r="C737">
        <f t="shared" si="55"/>
        <v>-0.633650122214133</v>
      </c>
      <c r="D737">
        <f t="shared" si="56"/>
        <v>0.625173972249824</v>
      </c>
      <c r="E737">
        <f t="shared" si="57"/>
        <v>0.431792374678395</v>
      </c>
      <c r="F737">
        <f t="shared" si="59"/>
        <v>0.0862579399995798</v>
      </c>
      <c r="G737">
        <f t="shared" si="58"/>
        <v>0.0450317605646944</v>
      </c>
    </row>
    <row r="738" spans="1:7">
      <c r="A738" s="1">
        <v>39612</v>
      </c>
      <c r="B738">
        <v>1.5336</v>
      </c>
      <c r="C738">
        <f t="shared" si="55"/>
        <v>-0.526779093485892</v>
      </c>
      <c r="D738">
        <f t="shared" si="56"/>
        <v>0.60280782276304</v>
      </c>
      <c r="E738">
        <f t="shared" si="57"/>
        <v>0.42696045606679</v>
      </c>
      <c r="F738">
        <f t="shared" si="59"/>
        <v>-0.0229086993134962</v>
      </c>
      <c r="G738">
        <f t="shared" si="58"/>
        <v>-0.100564826641344</v>
      </c>
    </row>
    <row r="739" spans="1:7">
      <c r="A739" s="1">
        <v>39615</v>
      </c>
      <c r="B739">
        <v>1.5459</v>
      </c>
      <c r="C739">
        <f t="shared" si="55"/>
        <v>0.798835227085346</v>
      </c>
      <c r="D739">
        <f t="shared" si="56"/>
        <v>0.570276661820118</v>
      </c>
      <c r="E739">
        <f t="shared" si="57"/>
        <v>0.416217639369474</v>
      </c>
      <c r="F739">
        <f t="shared" si="59"/>
        <v>0.278681533081371</v>
      </c>
      <c r="G739">
        <f t="shared" si="58"/>
        <v>0.328317901163071</v>
      </c>
    </row>
    <row r="740" spans="1:7">
      <c r="A740" s="1">
        <v>39616</v>
      </c>
      <c r="B740">
        <v>1.5477</v>
      </c>
      <c r="C740">
        <f t="shared" si="55"/>
        <v>0.116369291642555</v>
      </c>
      <c r="D740">
        <f t="shared" si="56"/>
        <v>0.577062767641356</v>
      </c>
      <c r="E740">
        <f t="shared" si="57"/>
        <v>0.42415146700893</v>
      </c>
      <c r="F740">
        <f t="shared" si="59"/>
        <v>-0.263168721739809</v>
      </c>
      <c r="G740">
        <f t="shared" si="58"/>
        <v>-0.412868911713911</v>
      </c>
    </row>
    <row r="741" spans="1:7">
      <c r="A741" s="1">
        <v>39617</v>
      </c>
      <c r="B741">
        <v>1.5493</v>
      </c>
      <c r="C741">
        <f t="shared" si="55"/>
        <v>0.103325808353215</v>
      </c>
      <c r="D741">
        <f t="shared" si="56"/>
        <v>0.520710672080959</v>
      </c>
      <c r="E741">
        <f t="shared" si="57"/>
        <v>0.400379469590264</v>
      </c>
      <c r="F741">
        <f t="shared" si="59"/>
        <v>-0.316028773578061</v>
      </c>
      <c r="G741">
        <f t="shared" si="58"/>
        <v>-0.44433862378195</v>
      </c>
    </row>
    <row r="742" spans="1:7">
      <c r="A742" s="1">
        <v>39618</v>
      </c>
      <c r="B742">
        <v>1.5481</v>
      </c>
      <c r="C742">
        <f t="shared" si="55"/>
        <v>-0.0774843455826241</v>
      </c>
      <c r="D742">
        <f t="shared" si="56"/>
        <v>0.469707227140048</v>
      </c>
      <c r="E742">
        <f t="shared" si="57"/>
        <v>0.37789051254844</v>
      </c>
      <c r="F742">
        <f t="shared" si="59"/>
        <v>-0.371431821964257</v>
      </c>
      <c r="G742">
        <f t="shared" si="58"/>
        <v>-0.478631520508353</v>
      </c>
    </row>
    <row r="743" spans="1:7">
      <c r="A743" s="1">
        <v>39619</v>
      </c>
      <c r="B743">
        <v>1.561</v>
      </c>
      <c r="C743">
        <f t="shared" si="55"/>
        <v>0.829826896901223</v>
      </c>
      <c r="D743">
        <f t="shared" si="56"/>
        <v>0.42333688680708</v>
      </c>
      <c r="E743">
        <f t="shared" si="57"/>
        <v>0.356517272986052</v>
      </c>
      <c r="F743">
        <f t="shared" si="59"/>
        <v>0.383521737504595</v>
      </c>
      <c r="G743">
        <f t="shared" si="58"/>
        <v>0.450063097037499</v>
      </c>
    </row>
    <row r="744" spans="1:7">
      <c r="A744" s="1">
        <v>39622</v>
      </c>
      <c r="B744">
        <v>1.5521</v>
      </c>
      <c r="C744">
        <f t="shared" si="55"/>
        <v>-0.57177888582931</v>
      </c>
      <c r="D744">
        <f t="shared" si="56"/>
        <v>0.449864466008443</v>
      </c>
      <c r="E744">
        <f t="shared" si="57"/>
        <v>0.370556870547925</v>
      </c>
      <c r="F744">
        <f t="shared" si="59"/>
        <v>-0.0360382516417929</v>
      </c>
      <c r="G744">
        <f t="shared" si="58"/>
        <v>-0.0552393310186445</v>
      </c>
    </row>
    <row r="745" spans="1:7">
      <c r="A745" s="1">
        <v>39623</v>
      </c>
      <c r="B745">
        <v>1.5568</v>
      </c>
      <c r="C745">
        <f t="shared" si="55"/>
        <v>0.302357977460178</v>
      </c>
      <c r="D745">
        <f t="shared" si="56"/>
        <v>0.437571128835619</v>
      </c>
      <c r="E745">
        <f t="shared" si="57"/>
        <v>0.36567001302906</v>
      </c>
      <c r="F745">
        <f t="shared" si="59"/>
        <v>-0.308794590745132</v>
      </c>
      <c r="G745">
        <f t="shared" si="58"/>
        <v>-0.378008090245021</v>
      </c>
    </row>
    <row r="746" spans="1:7">
      <c r="A746" s="1">
        <v>39624</v>
      </c>
      <c r="B746">
        <v>1.5599</v>
      </c>
      <c r="C746">
        <f t="shared" si="55"/>
        <v>0.198928419308252</v>
      </c>
      <c r="D746">
        <f t="shared" si="56"/>
        <v>0.402956050605438</v>
      </c>
      <c r="E746">
        <f t="shared" si="57"/>
        <v>0.349300829574006</v>
      </c>
      <c r="F746">
        <f t="shared" si="59"/>
        <v>-0.405361119942978</v>
      </c>
      <c r="G746">
        <f t="shared" si="58"/>
        <v>-0.469265553996173</v>
      </c>
    </row>
    <row r="747" spans="1:7">
      <c r="A747" s="1">
        <v>39625</v>
      </c>
      <c r="B747">
        <v>1.5731</v>
      </c>
      <c r="C747">
        <f t="shared" si="55"/>
        <v>0.842647820363606</v>
      </c>
      <c r="D747">
        <f t="shared" si="56"/>
        <v>0.366617697145743</v>
      </c>
      <c r="E747">
        <f t="shared" si="57"/>
        <v>0.33132140559999</v>
      </c>
      <c r="F747">
        <f t="shared" si="59"/>
        <v>0.466668789973389</v>
      </c>
      <c r="G747">
        <f t="shared" si="58"/>
        <v>0.519217490866596</v>
      </c>
    </row>
    <row r="748" spans="1:7">
      <c r="A748" s="1">
        <v>39626</v>
      </c>
      <c r="B748">
        <v>1.5748</v>
      </c>
      <c r="C748">
        <f t="shared" si="55"/>
        <v>0.108008524112338</v>
      </c>
      <c r="D748">
        <f t="shared" si="56"/>
        <v>0.400961462347522</v>
      </c>
      <c r="E748">
        <f t="shared" si="57"/>
        <v>0.347944888722167</v>
      </c>
      <c r="F748">
        <f t="shared" si="59"/>
        <v>-0.442397645268224</v>
      </c>
      <c r="G748">
        <f t="shared" si="58"/>
        <v>-0.511091667705867</v>
      </c>
    </row>
    <row r="749" spans="1:7">
      <c r="A749" s="1">
        <v>39629</v>
      </c>
      <c r="B749">
        <v>1.5764</v>
      </c>
      <c r="C749">
        <f t="shared" si="55"/>
        <v>0.101548625126613</v>
      </c>
      <c r="D749">
        <f t="shared" si="56"/>
        <v>0.362031900240862</v>
      </c>
      <c r="E749">
        <f t="shared" si="57"/>
        <v>0.328651487462884</v>
      </c>
      <c r="F749">
        <f t="shared" si="59"/>
        <v>-0.493769465272318</v>
      </c>
      <c r="G749">
        <f t="shared" si="58"/>
        <v>-0.540690160291784</v>
      </c>
    </row>
    <row r="750" spans="1:7">
      <c r="A750" s="1">
        <v>39630</v>
      </c>
      <c r="B750">
        <v>1.5775</v>
      </c>
      <c r="C750">
        <f t="shared" si="55"/>
        <v>0.0697549094519444</v>
      </c>
      <c r="D750">
        <f t="shared" si="56"/>
        <v>0.326859922543287</v>
      </c>
      <c r="E750">
        <f t="shared" si="57"/>
        <v>0.310448004378366</v>
      </c>
      <c r="F750">
        <f t="shared" si="59"/>
        <v>-0.551668616480993</v>
      </c>
      <c r="G750">
        <f t="shared" si="58"/>
        <v>-0.577032770349518</v>
      </c>
    </row>
    <row r="751" spans="1:7">
      <c r="A751" s="1">
        <v>39631</v>
      </c>
      <c r="B751">
        <v>1.5806</v>
      </c>
      <c r="C751">
        <f t="shared" si="55"/>
        <v>0.196320635550673</v>
      </c>
      <c r="D751">
        <f t="shared" si="56"/>
        <v>0.294660505028223</v>
      </c>
      <c r="E751">
        <f t="shared" si="57"/>
        <v>0.293064411485296</v>
      </c>
      <c r="F751">
        <f t="shared" si="59"/>
        <v>-0.545565372099174</v>
      </c>
      <c r="G751">
        <f t="shared" si="58"/>
        <v>-0.547924909386765</v>
      </c>
    </row>
    <row r="752" spans="1:7">
      <c r="A752" s="1">
        <v>39632</v>
      </c>
      <c r="B752">
        <v>1.5885</v>
      </c>
      <c r="C752">
        <f t="shared" si="55"/>
        <v>0.498565293869598</v>
      </c>
      <c r="D752">
        <f t="shared" si="56"/>
        <v>0.269048633719703</v>
      </c>
      <c r="E752">
        <f t="shared" si="57"/>
        <v>0.278407636393329</v>
      </c>
      <c r="F752">
        <f t="shared" si="59"/>
        <v>-0.194493975546856</v>
      </c>
      <c r="G752">
        <f t="shared" si="58"/>
        <v>-0.192925455019607</v>
      </c>
    </row>
    <row r="753" spans="1:7">
      <c r="A753" s="1">
        <v>39633</v>
      </c>
      <c r="B753">
        <v>1.5671</v>
      </c>
      <c r="C753">
        <f t="shared" si="55"/>
        <v>-1.35633971804005</v>
      </c>
      <c r="D753">
        <f t="shared" si="56"/>
        <v>0.26700050557286</v>
      </c>
      <c r="E753">
        <f t="shared" si="57"/>
        <v>0.275131545822294</v>
      </c>
      <c r="F753">
        <f t="shared" si="59"/>
        <v>2.78479248158733</v>
      </c>
      <c r="G753">
        <f t="shared" si="58"/>
        <v>2.69797948857168</v>
      </c>
    </row>
    <row r="754" spans="1:7">
      <c r="A754" s="1">
        <v>39636</v>
      </c>
      <c r="B754">
        <v>1.5651</v>
      </c>
      <c r="C754">
        <f t="shared" si="55"/>
        <v>-0.127705783271359</v>
      </c>
      <c r="D754">
        <f t="shared" si="56"/>
        <v>0.424266198088871</v>
      </c>
      <c r="E754">
        <f t="shared" si="57"/>
        <v>0.351606524609604</v>
      </c>
      <c r="F754">
        <f t="shared" si="59"/>
        <v>-0.409477127673094</v>
      </c>
      <c r="G754">
        <f t="shared" si="58"/>
        <v>-0.499429491461398</v>
      </c>
    </row>
    <row r="755" spans="1:7">
      <c r="A755" s="1">
        <v>39637</v>
      </c>
      <c r="B755">
        <v>1.5687</v>
      </c>
      <c r="C755">
        <f t="shared" si="55"/>
        <v>0.229753116573799</v>
      </c>
      <c r="D755">
        <f t="shared" si="56"/>
        <v>0.383470454988079</v>
      </c>
      <c r="E755">
        <f t="shared" si="57"/>
        <v>0.332325571487076</v>
      </c>
      <c r="F755">
        <f t="shared" si="59"/>
        <v>-0.410419021481359</v>
      </c>
      <c r="G755">
        <f t="shared" si="58"/>
        <v>-0.47140022603405</v>
      </c>
    </row>
    <row r="756" spans="1:7">
      <c r="A756" s="1">
        <v>39638</v>
      </c>
      <c r="B756">
        <v>1.5715</v>
      </c>
      <c r="C756">
        <f t="shared" si="55"/>
        <v>0.178332637542754</v>
      </c>
      <c r="D756">
        <f t="shared" si="56"/>
        <v>0.350402058946809</v>
      </c>
      <c r="E756">
        <f t="shared" si="57"/>
        <v>0.31602536192662</v>
      </c>
      <c r="F756">
        <f t="shared" si="59"/>
        <v>-0.478956966690152</v>
      </c>
      <c r="G756">
        <f t="shared" si="58"/>
        <v>-0.525649984787538</v>
      </c>
    </row>
    <row r="757" spans="1:7">
      <c r="A757" s="1">
        <v>39639</v>
      </c>
      <c r="B757">
        <v>1.5708</v>
      </c>
      <c r="C757">
        <f t="shared" si="55"/>
        <v>-0.0445533533767659</v>
      </c>
      <c r="D757">
        <f t="shared" si="56"/>
        <v>0.318542106013423</v>
      </c>
      <c r="E757">
        <f t="shared" si="57"/>
        <v>0.29965396669167</v>
      </c>
      <c r="F757">
        <f t="shared" si="59"/>
        <v>-0.568884546187286</v>
      </c>
      <c r="G757">
        <f t="shared" si="58"/>
        <v>-0.599251301325258</v>
      </c>
    </row>
    <row r="758" spans="1:7">
      <c r="A758" s="1">
        <v>39640</v>
      </c>
      <c r="B758">
        <v>1.5835</v>
      </c>
      <c r="C758">
        <f t="shared" si="55"/>
        <v>0.805254327483984</v>
      </c>
      <c r="D758">
        <f t="shared" si="56"/>
        <v>0.286886395541792</v>
      </c>
      <c r="E758">
        <f t="shared" si="57"/>
        <v>0.282773978755026</v>
      </c>
      <c r="F758">
        <f t="shared" si="59"/>
        <v>0.505789738918834</v>
      </c>
      <c r="G758">
        <f t="shared" si="58"/>
        <v>0.515006081612103</v>
      </c>
    </row>
    <row r="759" spans="1:7">
      <c r="A759" s="1">
        <v>39643</v>
      </c>
      <c r="B759">
        <v>1.5847</v>
      </c>
      <c r="C759">
        <f t="shared" si="55"/>
        <v>0.0757527970068178</v>
      </c>
      <c r="D759">
        <f t="shared" si="56"/>
        <v>0.323041209180782</v>
      </c>
      <c r="E759">
        <f t="shared" si="57"/>
        <v>0.299229266626308</v>
      </c>
      <c r="F759">
        <f t="shared" si="59"/>
        <v>-0.556105718175475</v>
      </c>
      <c r="G759">
        <f t="shared" si="58"/>
        <v>-0.593683832304888</v>
      </c>
    </row>
    <row r="760" spans="1:7">
      <c r="A760" s="1">
        <v>39644</v>
      </c>
      <c r="B760">
        <v>1.599</v>
      </c>
      <c r="C760">
        <f t="shared" si="55"/>
        <v>0.898331888519175</v>
      </c>
      <c r="D760">
        <f t="shared" si="56"/>
        <v>0.291310936888139</v>
      </c>
      <c r="E760">
        <f t="shared" si="57"/>
        <v>0.282562434941448</v>
      </c>
      <c r="F760">
        <f t="shared" si="59"/>
        <v>0.768436200467681</v>
      </c>
      <c r="G760">
        <f t="shared" si="58"/>
        <v>0.796075432913844</v>
      </c>
    </row>
    <row r="761" spans="1:7">
      <c r="A761" s="1">
        <v>39645</v>
      </c>
      <c r="B761">
        <v>1.5888</v>
      </c>
      <c r="C761">
        <f t="shared" si="55"/>
        <v>-0.639941954304607</v>
      </c>
      <c r="D761">
        <f t="shared" si="56"/>
        <v>0.342879861392368</v>
      </c>
      <c r="E761">
        <f t="shared" si="57"/>
        <v>0.306958697941482</v>
      </c>
      <c r="F761">
        <f t="shared" si="59"/>
        <v>0.0619978395955088</v>
      </c>
      <c r="G761">
        <f t="shared" si="58"/>
        <v>0.0765486817737246</v>
      </c>
    </row>
    <row r="762" spans="1:7">
      <c r="A762" s="1">
        <v>39646</v>
      </c>
      <c r="B762">
        <v>1.5849</v>
      </c>
      <c r="C762">
        <f t="shared" si="55"/>
        <v>-0.245770045252827</v>
      </c>
      <c r="D762">
        <f t="shared" si="56"/>
        <v>0.349544445741051</v>
      </c>
      <c r="E762">
        <f t="shared" si="57"/>
        <v>0.310017461308953</v>
      </c>
      <c r="F762">
        <f t="shared" si="59"/>
        <v>-0.43915993930241</v>
      </c>
      <c r="G762">
        <f t="shared" si="58"/>
        <v>-0.488144758736469</v>
      </c>
    </row>
    <row r="763" spans="1:7">
      <c r="A763" s="1">
        <v>39647</v>
      </c>
      <c r="B763">
        <v>1.5816</v>
      </c>
      <c r="C763">
        <f t="shared" si="55"/>
        <v>-0.208432098197276</v>
      </c>
      <c r="D763">
        <f t="shared" si="56"/>
        <v>0.320630292681304</v>
      </c>
      <c r="E763">
        <f t="shared" si="57"/>
        <v>0.295436559387595</v>
      </c>
      <c r="F763">
        <f t="shared" si="59"/>
        <v>-0.500985562620315</v>
      </c>
      <c r="G763">
        <f t="shared" si="58"/>
        <v>-0.536125588113347</v>
      </c>
    </row>
    <row r="764" spans="1:7">
      <c r="A764" s="1">
        <v>39650</v>
      </c>
      <c r="B764">
        <v>1.5858</v>
      </c>
      <c r="C764">
        <f t="shared" si="55"/>
        <v>0.265201898189141</v>
      </c>
      <c r="D764">
        <f t="shared" si="56"/>
        <v>0.292911657369065</v>
      </c>
      <c r="E764">
        <f t="shared" si="57"/>
        <v>0.280882562802285</v>
      </c>
      <c r="F764">
        <f t="shared" si="59"/>
        <v>-0.4938853569778</v>
      </c>
      <c r="G764">
        <f t="shared" si="58"/>
        <v>-0.509710997107219</v>
      </c>
    </row>
    <row r="765" spans="1:7">
      <c r="A765" s="1">
        <v>39651</v>
      </c>
      <c r="B765">
        <v>1.5919</v>
      </c>
      <c r="C765">
        <f t="shared" si="55"/>
        <v>0.383925952279181</v>
      </c>
      <c r="D765">
        <f t="shared" si="56"/>
        <v>0.270653696312471</v>
      </c>
      <c r="E765">
        <f t="shared" si="57"/>
        <v>0.268546211374304</v>
      </c>
      <c r="F765">
        <f t="shared" si="59"/>
        <v>-0.381155479733698</v>
      </c>
      <c r="G765">
        <f t="shared" si="58"/>
        <v>-0.382927080431393</v>
      </c>
    </row>
    <row r="766" spans="1:7">
      <c r="A766" s="1">
        <v>39652</v>
      </c>
      <c r="B766">
        <v>1.5741</v>
      </c>
      <c r="C766">
        <f t="shared" si="55"/>
        <v>-1.12445910003145</v>
      </c>
      <c r="D766">
        <f t="shared" si="56"/>
        <v>0.258328240364571</v>
      </c>
      <c r="E766">
        <f t="shared" si="57"/>
        <v>0.26080339553352</v>
      </c>
      <c r="F766">
        <f t="shared" si="59"/>
        <v>1.77052792937061</v>
      </c>
      <c r="G766">
        <f t="shared" si="58"/>
        <v>1.75206982993225</v>
      </c>
    </row>
    <row r="767" spans="1:7">
      <c r="A767" s="1">
        <v>39653</v>
      </c>
      <c r="B767">
        <v>1.5677</v>
      </c>
      <c r="C767">
        <f t="shared" si="55"/>
        <v>-0.407410328629033</v>
      </c>
      <c r="D767">
        <f t="shared" si="56"/>
        <v>0.358936243092468</v>
      </c>
      <c r="E767">
        <f t="shared" si="57"/>
        <v>0.309375605183685</v>
      </c>
      <c r="F767">
        <f t="shared" si="59"/>
        <v>-0.281089848503177</v>
      </c>
      <c r="G767">
        <f t="shared" si="58"/>
        <v>-0.318344481727411</v>
      </c>
    </row>
    <row r="768" spans="1:7">
      <c r="A768" s="1">
        <v>39654</v>
      </c>
      <c r="B768">
        <v>1.5734</v>
      </c>
      <c r="C768">
        <f t="shared" si="55"/>
        <v>0.362930582065659</v>
      </c>
      <c r="D768">
        <f t="shared" si="56"/>
        <v>0.339640936370582</v>
      </c>
      <c r="E768">
        <f t="shared" si="57"/>
        <v>0.300112227666345</v>
      </c>
      <c r="F768">
        <f t="shared" si="59"/>
        <v>-0.346024529068516</v>
      </c>
      <c r="G768">
        <f t="shared" si="58"/>
        <v>-0.382350472832292</v>
      </c>
    </row>
    <row r="769" spans="1:7">
      <c r="A769" s="1">
        <v>39657</v>
      </c>
      <c r="B769">
        <v>1.5746</v>
      </c>
      <c r="C769">
        <f t="shared" si="55"/>
        <v>0.0762388855224782</v>
      </c>
      <c r="D769">
        <f t="shared" si="56"/>
        <v>0.318848703473376</v>
      </c>
      <c r="E769">
        <f t="shared" si="57"/>
        <v>0.28969142437629</v>
      </c>
      <c r="F769">
        <f t="shared" si="59"/>
        <v>-0.562404669182034</v>
      </c>
      <c r="G769">
        <f t="shared" si="58"/>
        <v>-0.609437490043781</v>
      </c>
    </row>
    <row r="770" spans="1:7">
      <c r="A770" s="1">
        <v>39658</v>
      </c>
      <c r="B770">
        <v>1.5705</v>
      </c>
      <c r="C770">
        <f t="shared" si="55"/>
        <v>-0.260723177166553</v>
      </c>
      <c r="D770">
        <f t="shared" si="56"/>
        <v>0.287545069892609</v>
      </c>
      <c r="E770">
        <f t="shared" si="57"/>
        <v>0.273600557296998</v>
      </c>
      <c r="F770">
        <f t="shared" si="59"/>
        <v>-0.504986232319833</v>
      </c>
      <c r="G770">
        <f t="shared" si="58"/>
        <v>-0.523817083994867</v>
      </c>
    </row>
    <row r="771" spans="1:7">
      <c r="A771" s="1">
        <v>39659</v>
      </c>
      <c r="B771">
        <v>1.5589</v>
      </c>
      <c r="C771">
        <f t="shared" si="55"/>
        <v>-0.741359566006605</v>
      </c>
      <c r="D771">
        <f t="shared" si="56"/>
        <v>0.265588220414531</v>
      </c>
      <c r="E771">
        <f t="shared" si="57"/>
        <v>0.261583352614769</v>
      </c>
      <c r="F771">
        <f t="shared" si="59"/>
        <v>0.371806704836588</v>
      </c>
      <c r="G771">
        <f t="shared" si="58"/>
        <v>0.380051190356943</v>
      </c>
    </row>
    <row r="772" spans="1:7">
      <c r="A772" s="1">
        <v>39660</v>
      </c>
      <c r="B772">
        <v>1.5611</v>
      </c>
      <c r="C772">
        <f t="shared" ref="C772:C835" si="60">100*LN(B772/B771)</f>
        <v>0.14102566439856</v>
      </c>
      <c r="D772">
        <f t="shared" si="56"/>
        <v>0.293990798984028</v>
      </c>
      <c r="E772">
        <f t="shared" si="57"/>
        <v>0.274369051763358</v>
      </c>
      <c r="F772">
        <f t="shared" si="59"/>
        <v>-0.5782788114334</v>
      </c>
      <c r="G772">
        <f t="shared" si="58"/>
        <v>-0.610396998804017</v>
      </c>
    </row>
    <row r="773" spans="1:7">
      <c r="A773" s="1">
        <v>39661</v>
      </c>
      <c r="B773">
        <v>1.5574</v>
      </c>
      <c r="C773">
        <f t="shared" si="60"/>
        <v>-0.237293681973522</v>
      </c>
      <c r="D773">
        <f t="shared" ref="D773:D836" si="61">$J$1*D772+(1-$J$1)*C772^2</f>
        <v>0.26658054288753</v>
      </c>
      <c r="E773">
        <f t="shared" ref="E773:E836" si="62">$K$1+$K$2*C772^2+$K$3*E772</f>
        <v>0.25990132055851</v>
      </c>
      <c r="F773">
        <f t="shared" si="59"/>
        <v>-0.555427272645754</v>
      </c>
      <c r="G773">
        <f t="shared" ref="G773:G836" si="63">0.5*(LN(E773)+C773^2/E773)</f>
        <v>-0.565400338430143</v>
      </c>
    </row>
    <row r="774" spans="1:7">
      <c r="A774" s="1">
        <v>39664</v>
      </c>
      <c r="B774">
        <v>1.5566</v>
      </c>
      <c r="C774">
        <f t="shared" si="60"/>
        <v>-0.0513808617597827</v>
      </c>
      <c r="D774">
        <f t="shared" si="61"/>
        <v>0.245553317749233</v>
      </c>
      <c r="E774">
        <f t="shared" si="62"/>
        <v>0.248122655900226</v>
      </c>
      <c r="F774">
        <f t="shared" si="59"/>
        <v>-0.696744987287926</v>
      </c>
      <c r="G774">
        <f t="shared" si="63"/>
        <v>-0.691596102112407</v>
      </c>
    </row>
    <row r="775" spans="1:7">
      <c r="A775" s="1">
        <v>39665</v>
      </c>
      <c r="B775">
        <v>1.5487</v>
      </c>
      <c r="C775">
        <f t="shared" si="60"/>
        <v>-0.50880862031591</v>
      </c>
      <c r="D775">
        <f t="shared" si="61"/>
        <v>0.221261985269827</v>
      </c>
      <c r="E775">
        <f t="shared" si="62"/>
        <v>0.234367296193972</v>
      </c>
      <c r="F775">
        <f t="shared" ref="F775:F838" si="64">0.5*(LN(D775)+C775^2/D775)</f>
        <v>-0.169182017292935</v>
      </c>
      <c r="G775">
        <f t="shared" si="63"/>
        <v>-0.173124136202993</v>
      </c>
    </row>
    <row r="776" spans="1:7">
      <c r="A776" s="1">
        <v>39666</v>
      </c>
      <c r="B776">
        <v>1.5478</v>
      </c>
      <c r="C776">
        <f t="shared" si="60"/>
        <v>-0.0581301485769941</v>
      </c>
      <c r="D776">
        <f t="shared" si="61"/>
        <v>0.225024407953622</v>
      </c>
      <c r="E776">
        <f t="shared" si="62"/>
        <v>0.234249569027722</v>
      </c>
      <c r="F776">
        <f t="shared" si="64"/>
        <v>-0.738264873327596</v>
      </c>
      <c r="G776">
        <f t="shared" si="63"/>
        <v>-0.718471461924754</v>
      </c>
    </row>
    <row r="777" spans="1:7">
      <c r="A777" s="1">
        <v>39667</v>
      </c>
      <c r="B777">
        <v>1.5471</v>
      </c>
      <c r="C777">
        <f t="shared" si="60"/>
        <v>-0.0452357111335904</v>
      </c>
      <c r="D777">
        <f t="shared" si="61"/>
        <v>0.202859878575618</v>
      </c>
      <c r="E777">
        <f t="shared" si="62"/>
        <v>0.221363550594738</v>
      </c>
      <c r="F777">
        <f t="shared" si="64"/>
        <v>-0.792576341656243</v>
      </c>
      <c r="G777">
        <f t="shared" si="63"/>
        <v>-0.749352485967109</v>
      </c>
    </row>
    <row r="778" spans="1:7">
      <c r="A778" s="1">
        <v>39668</v>
      </c>
      <c r="B778">
        <v>1.5074</v>
      </c>
      <c r="C778">
        <f t="shared" si="60"/>
        <v>-2.59958983156534</v>
      </c>
      <c r="D778">
        <f t="shared" si="61"/>
        <v>0.182778517674233</v>
      </c>
      <c r="E778">
        <f t="shared" si="62"/>
        <v>0.209184051037142</v>
      </c>
      <c r="F778">
        <f t="shared" si="64"/>
        <v>17.6367521541502</v>
      </c>
      <c r="G778">
        <f t="shared" si="63"/>
        <v>15.3706515399671</v>
      </c>
    </row>
    <row r="779" spans="1:7">
      <c r="A779" s="1">
        <v>39671</v>
      </c>
      <c r="B779">
        <v>1.5012</v>
      </c>
      <c r="C779">
        <f t="shared" si="60"/>
        <v>-0.412152414850369</v>
      </c>
      <c r="D779">
        <f t="shared" si="61"/>
        <v>0.8402873951446</v>
      </c>
      <c r="E779">
        <f t="shared" si="62"/>
        <v>0.535526372593809</v>
      </c>
      <c r="F779">
        <f t="shared" si="64"/>
        <v>0.0140726280010774</v>
      </c>
      <c r="G779">
        <f t="shared" si="63"/>
        <v>-0.153651966169237</v>
      </c>
    </row>
    <row r="780" spans="1:7">
      <c r="A780" s="1">
        <v>39672</v>
      </c>
      <c r="B780">
        <v>1.4907</v>
      </c>
      <c r="C780">
        <f t="shared" si="60"/>
        <v>-0.701897998448129</v>
      </c>
      <c r="D780">
        <f t="shared" si="61"/>
        <v>0.773245616936839</v>
      </c>
      <c r="E780">
        <f t="shared" si="62"/>
        <v>0.51288827089153</v>
      </c>
      <c r="F780">
        <f t="shared" si="64"/>
        <v>0.189987555781935</v>
      </c>
      <c r="G780">
        <f t="shared" si="63"/>
        <v>0.146432195028253</v>
      </c>
    </row>
    <row r="781" spans="1:7">
      <c r="A781" s="1">
        <v>39673</v>
      </c>
      <c r="B781">
        <v>1.4903</v>
      </c>
      <c r="C781">
        <f t="shared" si="60"/>
        <v>-0.0268366321637459</v>
      </c>
      <c r="D781">
        <f t="shared" si="61"/>
        <v>0.745187135265704</v>
      </c>
      <c r="E781">
        <f t="shared" si="62"/>
        <v>0.507748014649313</v>
      </c>
      <c r="F781">
        <f t="shared" si="64"/>
        <v>-0.146576714374537</v>
      </c>
      <c r="G781">
        <f t="shared" si="63"/>
        <v>-0.338175779499715</v>
      </c>
    </row>
    <row r="782" spans="1:7">
      <c r="A782" s="1">
        <v>39674</v>
      </c>
      <c r="B782">
        <v>1.4907</v>
      </c>
      <c r="C782">
        <f t="shared" si="60"/>
        <v>0.0268366321637459</v>
      </c>
      <c r="D782">
        <f t="shared" si="61"/>
        <v>0.670740442221723</v>
      </c>
      <c r="E782">
        <f t="shared" si="62"/>
        <v>0.478319144011648</v>
      </c>
      <c r="F782">
        <f t="shared" si="64"/>
        <v>-0.199149646614464</v>
      </c>
      <c r="G782">
        <f t="shared" si="63"/>
        <v>-0.367985702315093</v>
      </c>
    </row>
    <row r="783" spans="1:7">
      <c r="A783" s="1">
        <v>39675</v>
      </c>
      <c r="B783">
        <v>1.4729</v>
      </c>
      <c r="C783">
        <f t="shared" si="60"/>
        <v>-1.20125617808871</v>
      </c>
      <c r="D783">
        <f t="shared" si="61"/>
        <v>0.60373841848214</v>
      </c>
      <c r="E783">
        <f t="shared" si="62"/>
        <v>0.450656005612244</v>
      </c>
      <c r="F783">
        <f t="shared" si="64"/>
        <v>0.942760438280178</v>
      </c>
      <c r="G783">
        <f t="shared" si="63"/>
        <v>1.20249212992854</v>
      </c>
    </row>
    <row r="784" spans="1:7">
      <c r="A784" s="1">
        <v>39678</v>
      </c>
      <c r="B784">
        <v>1.4704</v>
      </c>
      <c r="C784">
        <f t="shared" si="60"/>
        <v>-0.169877389407492</v>
      </c>
      <c r="D784">
        <f t="shared" si="61"/>
        <v>0.687666217173555</v>
      </c>
      <c r="E784">
        <f t="shared" si="62"/>
        <v>0.496767465545324</v>
      </c>
      <c r="F784">
        <f t="shared" si="64"/>
        <v>-0.166243052639549</v>
      </c>
      <c r="G784">
        <f t="shared" si="63"/>
        <v>-0.320770506718936</v>
      </c>
    </row>
    <row r="785" spans="1:7">
      <c r="A785" s="1">
        <v>39679</v>
      </c>
      <c r="B785">
        <v>1.4677</v>
      </c>
      <c r="C785">
        <f t="shared" si="60"/>
        <v>-0.183792298426949</v>
      </c>
      <c r="D785">
        <f t="shared" si="61"/>
        <v>0.62178542819939</v>
      </c>
      <c r="E785">
        <f t="shared" si="62"/>
        <v>0.4694043339842</v>
      </c>
      <c r="F785">
        <f t="shared" si="64"/>
        <v>-0.210416711176558</v>
      </c>
      <c r="G785">
        <f t="shared" si="63"/>
        <v>-0.342164025221896</v>
      </c>
    </row>
    <row r="786" spans="1:7">
      <c r="A786" s="1">
        <v>39680</v>
      </c>
      <c r="B786">
        <v>1.4734</v>
      </c>
      <c r="C786">
        <f t="shared" si="60"/>
        <v>0.387610563156014</v>
      </c>
      <c r="D786">
        <f t="shared" si="61"/>
        <v>0.562984846275557</v>
      </c>
      <c r="E786">
        <f t="shared" si="62"/>
        <v>0.443929054393201</v>
      </c>
      <c r="F786">
        <f t="shared" si="64"/>
        <v>-0.153817897563973</v>
      </c>
      <c r="G786">
        <f t="shared" si="63"/>
        <v>-0.236826835750227</v>
      </c>
    </row>
    <row r="787" spans="1:7">
      <c r="A787" s="1">
        <v>39681</v>
      </c>
      <c r="B787">
        <v>1.4814</v>
      </c>
      <c r="C787">
        <f t="shared" si="60"/>
        <v>0.541493133047557</v>
      </c>
      <c r="D787">
        <f t="shared" si="61"/>
        <v>0.521710556515014</v>
      </c>
      <c r="E787">
        <f t="shared" si="62"/>
        <v>0.425805408563115</v>
      </c>
      <c r="F787">
        <f t="shared" si="64"/>
        <v>-0.0443082477587967</v>
      </c>
      <c r="G787">
        <f t="shared" si="63"/>
        <v>-0.0825802958310115</v>
      </c>
    </row>
    <row r="788" spans="1:7">
      <c r="A788" s="1">
        <v>39682</v>
      </c>
      <c r="B788">
        <v>1.4808</v>
      </c>
      <c r="C788">
        <f t="shared" si="60"/>
        <v>-0.0405104319901176</v>
      </c>
      <c r="D788">
        <f t="shared" si="61"/>
        <v>0.498860982177278</v>
      </c>
      <c r="E788">
        <f t="shared" si="62"/>
        <v>0.415917824706211</v>
      </c>
      <c r="F788">
        <f t="shared" si="64"/>
        <v>-0.346069065328977</v>
      </c>
      <c r="G788">
        <f t="shared" si="63"/>
        <v>-0.436660927714389</v>
      </c>
    </row>
    <row r="789" spans="1:7">
      <c r="A789" s="1">
        <v>39685</v>
      </c>
      <c r="B789">
        <v>1.4767</v>
      </c>
      <c r="C789">
        <f t="shared" si="60"/>
        <v>-0.277261377955947</v>
      </c>
      <c r="D789">
        <f t="shared" si="61"/>
        <v>0.449138993469553</v>
      </c>
      <c r="E789">
        <f t="shared" si="62"/>
        <v>0.39204480997884</v>
      </c>
      <c r="F789">
        <f t="shared" si="64"/>
        <v>-0.314632282725833</v>
      </c>
      <c r="G789">
        <f t="shared" si="63"/>
        <v>-0.370147366807486</v>
      </c>
    </row>
    <row r="790" spans="1:7">
      <c r="A790" s="1">
        <v>39686</v>
      </c>
      <c r="B790">
        <v>1.4598</v>
      </c>
      <c r="C790">
        <f t="shared" si="60"/>
        <v>-1.15104284621962</v>
      </c>
      <c r="D790">
        <f t="shared" si="61"/>
        <v>0.411912481293201</v>
      </c>
      <c r="E790">
        <f t="shared" si="62"/>
        <v>0.373365814965411</v>
      </c>
      <c r="F790">
        <f t="shared" si="64"/>
        <v>1.16475734363931</v>
      </c>
      <c r="G790">
        <f t="shared" si="63"/>
        <v>1.28166648227572</v>
      </c>
    </row>
    <row r="791" spans="1:7">
      <c r="A791" s="1">
        <v>39687</v>
      </c>
      <c r="B791">
        <v>1.4767</v>
      </c>
      <c r="C791">
        <f t="shared" si="60"/>
        <v>1.15104284621962</v>
      </c>
      <c r="D791">
        <f t="shared" si="61"/>
        <v>0.503211196547218</v>
      </c>
      <c r="E791">
        <f t="shared" si="62"/>
        <v>0.418208847759155</v>
      </c>
      <c r="F791">
        <f t="shared" si="64"/>
        <v>0.973072245575752</v>
      </c>
      <c r="G791">
        <f t="shared" si="63"/>
        <v>1.14812957526594</v>
      </c>
    </row>
    <row r="792" spans="1:7">
      <c r="A792" s="1">
        <v>39688</v>
      </c>
      <c r="B792">
        <v>1.4771</v>
      </c>
      <c r="C792">
        <f t="shared" si="60"/>
        <v>0.0270837566825931</v>
      </c>
      <c r="D792">
        <f t="shared" si="61"/>
        <v>0.585380040275833</v>
      </c>
      <c r="E792">
        <f t="shared" si="62"/>
        <v>0.460361298585274</v>
      </c>
      <c r="F792">
        <f t="shared" si="64"/>
        <v>-0.267120459004822</v>
      </c>
      <c r="G792">
        <f t="shared" si="63"/>
        <v>-0.387075143703385</v>
      </c>
    </row>
    <row r="793" spans="1:7">
      <c r="A793" s="1">
        <v>39689</v>
      </c>
      <c r="B793">
        <v>1.4735</v>
      </c>
      <c r="C793">
        <f t="shared" si="60"/>
        <v>-0.244018286880472</v>
      </c>
      <c r="D793">
        <f t="shared" si="61"/>
        <v>0.526915389235854</v>
      </c>
      <c r="E793">
        <f t="shared" si="62"/>
        <v>0.433776297163959</v>
      </c>
      <c r="F793">
        <f t="shared" si="64"/>
        <v>-0.263854340219418</v>
      </c>
      <c r="G793">
        <f t="shared" si="63"/>
        <v>-0.348977640016376</v>
      </c>
    </row>
    <row r="794" spans="1:7">
      <c r="A794" s="1">
        <v>39692</v>
      </c>
      <c r="B794">
        <v>1.4621</v>
      </c>
      <c r="C794">
        <f t="shared" si="60"/>
        <v>-0.776676475435716</v>
      </c>
      <c r="D794">
        <f t="shared" si="61"/>
        <v>0.480178342745476</v>
      </c>
      <c r="E794">
        <f t="shared" si="62"/>
        <v>0.411726965550726</v>
      </c>
      <c r="F794">
        <f t="shared" si="64"/>
        <v>0.261328551197034</v>
      </c>
      <c r="G794">
        <f t="shared" si="63"/>
        <v>0.288858851610399</v>
      </c>
    </row>
    <row r="795" spans="1:7">
      <c r="A795" s="1">
        <v>39693</v>
      </c>
      <c r="B795">
        <v>1.4516</v>
      </c>
      <c r="C795">
        <f t="shared" si="60"/>
        <v>-0.720736208447695</v>
      </c>
      <c r="D795">
        <f t="shared" si="61"/>
        <v>0.492483143220454</v>
      </c>
      <c r="E795">
        <f t="shared" si="62"/>
        <v>0.418184664992445</v>
      </c>
      <c r="F795">
        <f t="shared" si="64"/>
        <v>0.173241778906295</v>
      </c>
      <c r="G795">
        <f t="shared" si="63"/>
        <v>0.185173984901152</v>
      </c>
    </row>
    <row r="796" spans="1:7">
      <c r="A796" s="1">
        <v>39694</v>
      </c>
      <c r="B796">
        <v>1.4441</v>
      </c>
      <c r="C796">
        <f t="shared" si="60"/>
        <v>-0.518010620639583</v>
      </c>
      <c r="D796">
        <f t="shared" si="61"/>
        <v>0.495180897115164</v>
      </c>
      <c r="E796">
        <f t="shared" si="62"/>
        <v>0.420066619201276</v>
      </c>
      <c r="F796">
        <f t="shared" si="64"/>
        <v>-0.0804696265851487</v>
      </c>
      <c r="G796">
        <f t="shared" si="63"/>
        <v>-0.114275210957708</v>
      </c>
    </row>
    <row r="797" spans="1:7">
      <c r="A797" s="1">
        <v>39695</v>
      </c>
      <c r="B797">
        <v>1.4488</v>
      </c>
      <c r="C797">
        <f t="shared" si="60"/>
        <v>0.324933743668427</v>
      </c>
      <c r="D797">
        <f t="shared" si="61"/>
        <v>0.472496307713188</v>
      </c>
      <c r="E797">
        <f t="shared" si="62"/>
        <v>0.40927937220397</v>
      </c>
      <c r="F797">
        <f t="shared" si="64"/>
        <v>-0.263134881859893</v>
      </c>
      <c r="G797">
        <f t="shared" si="63"/>
        <v>-0.317693478504121</v>
      </c>
    </row>
    <row r="798" spans="1:7">
      <c r="A798" s="1">
        <v>39696</v>
      </c>
      <c r="B798">
        <v>1.4247</v>
      </c>
      <c r="C798">
        <f t="shared" si="60"/>
        <v>-1.67743623460178</v>
      </c>
      <c r="D798">
        <f t="shared" si="61"/>
        <v>0.435804870719307</v>
      </c>
      <c r="E798">
        <f t="shared" si="62"/>
        <v>0.39100170676045</v>
      </c>
      <c r="F798">
        <f t="shared" si="64"/>
        <v>2.81299051031944</v>
      </c>
      <c r="G798">
        <f t="shared" si="63"/>
        <v>3.12866251573788</v>
      </c>
    </row>
    <row r="799" spans="1:7">
      <c r="A799" s="1">
        <v>39699</v>
      </c>
      <c r="B799">
        <v>1.4214</v>
      </c>
      <c r="C799">
        <f t="shared" si="60"/>
        <v>-0.231896383039116</v>
      </c>
      <c r="D799">
        <f t="shared" si="61"/>
        <v>0.673603615762875</v>
      </c>
      <c r="E799">
        <f t="shared" si="62"/>
        <v>0.509231220412573</v>
      </c>
      <c r="F799">
        <f t="shared" si="64"/>
        <v>-0.157640123910418</v>
      </c>
      <c r="G799">
        <f t="shared" si="63"/>
        <v>-0.284625455385333</v>
      </c>
    </row>
    <row r="800" spans="1:7">
      <c r="A800" s="1">
        <v>39700</v>
      </c>
      <c r="B800">
        <v>1.4144</v>
      </c>
      <c r="C800">
        <f t="shared" si="60"/>
        <v>-0.493688850941572</v>
      </c>
      <c r="D800">
        <f t="shared" si="61"/>
        <v>0.61162084743325</v>
      </c>
      <c r="E800">
        <f t="shared" si="62"/>
        <v>0.482366143811149</v>
      </c>
      <c r="F800">
        <f t="shared" si="64"/>
        <v>-0.0465731792820528</v>
      </c>
      <c r="G800">
        <f t="shared" si="63"/>
        <v>-0.111887239947877</v>
      </c>
    </row>
    <row r="801" spans="1:7">
      <c r="A801" s="1">
        <v>39701</v>
      </c>
      <c r="B801">
        <v>1.4094</v>
      </c>
      <c r="C801">
        <f t="shared" si="60"/>
        <v>-0.354133099045698</v>
      </c>
      <c r="D801">
        <f t="shared" si="61"/>
        <v>0.574831630844326</v>
      </c>
      <c r="E801">
        <f t="shared" si="62"/>
        <v>0.466610609259681</v>
      </c>
      <c r="F801">
        <f t="shared" si="64"/>
        <v>-0.167754713959138</v>
      </c>
      <c r="G801">
        <f t="shared" si="63"/>
        <v>-0.246745821523858</v>
      </c>
    </row>
    <row r="802" spans="1:7">
      <c r="A802" s="1">
        <v>39702</v>
      </c>
      <c r="B802">
        <v>1.3934</v>
      </c>
      <c r="C802">
        <f t="shared" si="60"/>
        <v>-1.14172782969035</v>
      </c>
      <c r="D802">
        <f t="shared" si="61"/>
        <v>0.529889492943864</v>
      </c>
      <c r="E802">
        <f t="shared" si="62"/>
        <v>0.445884485296085</v>
      </c>
      <c r="F802">
        <f t="shared" si="64"/>
        <v>0.912470079676553</v>
      </c>
      <c r="G802">
        <f t="shared" si="63"/>
        <v>1.05790135943255</v>
      </c>
    </row>
    <row r="803" spans="1:7">
      <c r="A803" s="1">
        <v>39703</v>
      </c>
      <c r="B803">
        <v>1.4066</v>
      </c>
      <c r="C803">
        <f t="shared" si="60"/>
        <v>0.942864127789941</v>
      </c>
      <c r="D803">
        <f t="shared" si="61"/>
        <v>0.607254787358422</v>
      </c>
      <c r="E803">
        <f t="shared" si="62"/>
        <v>0.485308538032793</v>
      </c>
      <c r="F803">
        <f t="shared" si="64"/>
        <v>0.482573329787726</v>
      </c>
      <c r="G803">
        <f t="shared" si="63"/>
        <v>0.554419507549944</v>
      </c>
    </row>
    <row r="804" spans="1:7">
      <c r="A804" s="1">
        <v>39706</v>
      </c>
      <c r="B804">
        <v>1.4151</v>
      </c>
      <c r="C804">
        <f t="shared" si="60"/>
        <v>0.602475508440781</v>
      </c>
      <c r="D804">
        <f t="shared" si="61"/>
        <v>0.635428584969889</v>
      </c>
      <c r="E804">
        <f t="shared" si="62"/>
        <v>0.501639663924479</v>
      </c>
      <c r="F804">
        <f t="shared" si="64"/>
        <v>0.0588878973524518</v>
      </c>
      <c r="G804">
        <f t="shared" si="63"/>
        <v>0.0168537002443692</v>
      </c>
    </row>
    <row r="805" spans="1:7">
      <c r="A805" s="1">
        <v>39707</v>
      </c>
      <c r="B805">
        <v>1.4267</v>
      </c>
      <c r="C805">
        <f t="shared" si="60"/>
        <v>0.816388516244305</v>
      </c>
      <c r="D805">
        <f t="shared" si="61"/>
        <v>0.608183400299998</v>
      </c>
      <c r="E805">
        <f t="shared" si="62"/>
        <v>0.490690121002559</v>
      </c>
      <c r="F805">
        <f t="shared" si="64"/>
        <v>0.29929582051593</v>
      </c>
      <c r="G805">
        <f t="shared" si="63"/>
        <v>0.323164314750353</v>
      </c>
    </row>
    <row r="806" spans="1:7">
      <c r="A806" s="1">
        <v>39708</v>
      </c>
      <c r="B806">
        <v>1.4224</v>
      </c>
      <c r="C806">
        <f t="shared" si="60"/>
        <v>-0.301849936112853</v>
      </c>
      <c r="D806">
        <f t="shared" si="61"/>
        <v>0.614014081215556</v>
      </c>
      <c r="E806">
        <f t="shared" si="62"/>
        <v>0.495573224215185</v>
      </c>
      <c r="F806">
        <f t="shared" si="64"/>
        <v>-0.16967384359531</v>
      </c>
      <c r="G806">
        <f t="shared" si="63"/>
        <v>-0.259092812119013</v>
      </c>
    </row>
    <row r="807" spans="1:7">
      <c r="A807" s="1">
        <v>39709</v>
      </c>
      <c r="B807">
        <v>1.4502</v>
      </c>
      <c r="C807">
        <f t="shared" si="60"/>
        <v>1.9355892177852</v>
      </c>
      <c r="D807">
        <f t="shared" si="61"/>
        <v>0.561724011487134</v>
      </c>
      <c r="E807">
        <f t="shared" si="62"/>
        <v>0.47139449995884</v>
      </c>
      <c r="F807">
        <f t="shared" si="64"/>
        <v>3.04645541356635</v>
      </c>
      <c r="G807">
        <f t="shared" si="63"/>
        <v>3.5978237902653</v>
      </c>
    </row>
    <row r="808" spans="1:7">
      <c r="A808" s="1">
        <v>39710</v>
      </c>
      <c r="B808">
        <v>1.4236</v>
      </c>
      <c r="C808">
        <f t="shared" si="60"/>
        <v>-1.85126033014547</v>
      </c>
      <c r="D808">
        <f t="shared" si="61"/>
        <v>0.880202172339051</v>
      </c>
      <c r="E808">
        <f t="shared" si="62"/>
        <v>0.631436110961626</v>
      </c>
      <c r="F808">
        <f t="shared" si="64"/>
        <v>1.8830036430278</v>
      </c>
      <c r="G808">
        <f t="shared" si="63"/>
        <v>2.48390662834874</v>
      </c>
    </row>
    <row r="809" spans="1:7">
      <c r="A809" s="1">
        <v>39713</v>
      </c>
      <c r="B809">
        <v>1.4571</v>
      </c>
      <c r="C809">
        <f t="shared" si="60"/>
        <v>2.32592843837713</v>
      </c>
      <c r="D809">
        <f t="shared" si="61"/>
        <v>1.13489843610218</v>
      </c>
      <c r="E809">
        <f t="shared" si="62"/>
        <v>0.765908184802444</v>
      </c>
      <c r="F809">
        <f t="shared" si="64"/>
        <v>2.4467197072169</v>
      </c>
      <c r="G809">
        <f t="shared" si="63"/>
        <v>3.39837128511896</v>
      </c>
    </row>
    <row r="810" spans="1:7">
      <c r="A810" s="1">
        <v>39714</v>
      </c>
      <c r="B810">
        <v>1.4731</v>
      </c>
      <c r="C810">
        <f t="shared" si="60"/>
        <v>1.09208648010839</v>
      </c>
      <c r="D810">
        <f t="shared" si="61"/>
        <v>1.56240290253711</v>
      </c>
      <c r="E810">
        <f t="shared" si="62"/>
        <v>0.991450848736871</v>
      </c>
      <c r="F810">
        <f t="shared" si="64"/>
        <v>0.604785118816772</v>
      </c>
      <c r="G810">
        <f t="shared" si="63"/>
        <v>0.59717553263592</v>
      </c>
    </row>
    <row r="811" spans="1:7">
      <c r="A811" s="1">
        <v>39715</v>
      </c>
      <c r="B811">
        <v>1.469</v>
      </c>
      <c r="C811">
        <f t="shared" si="60"/>
        <v>-0.278712664701536</v>
      </c>
      <c r="D811">
        <f t="shared" si="61"/>
        <v>1.52542790028695</v>
      </c>
      <c r="E811">
        <f t="shared" si="62"/>
        <v>0.992596441814435</v>
      </c>
      <c r="F811">
        <f t="shared" si="64"/>
        <v>0.236599434333353</v>
      </c>
      <c r="G811">
        <f t="shared" si="63"/>
        <v>0.0354145262570882</v>
      </c>
    </row>
    <row r="812" spans="1:7">
      <c r="A812" s="1">
        <v>39716</v>
      </c>
      <c r="B812">
        <v>1.47</v>
      </c>
      <c r="C812">
        <f t="shared" si="60"/>
        <v>0.0680503598904614</v>
      </c>
      <c r="D812">
        <f t="shared" si="61"/>
        <v>1.38065318520476</v>
      </c>
      <c r="E812">
        <f t="shared" si="62"/>
        <v>0.93792469277882</v>
      </c>
      <c r="F812">
        <f t="shared" si="64"/>
        <v>0.162955405853156</v>
      </c>
      <c r="G812">
        <f t="shared" si="63"/>
        <v>-0.0295741399058191</v>
      </c>
    </row>
    <row r="813" spans="1:7">
      <c r="A813" s="1">
        <v>39717</v>
      </c>
      <c r="B813">
        <v>1.464</v>
      </c>
      <c r="C813">
        <f t="shared" si="60"/>
        <v>-0.408998525152517</v>
      </c>
      <c r="D813">
        <f t="shared" si="61"/>
        <v>1.2430509518324</v>
      </c>
      <c r="E813">
        <f t="shared" si="62"/>
        <v>0.882880753786152</v>
      </c>
      <c r="F813">
        <f t="shared" si="64"/>
        <v>0.176070377574631</v>
      </c>
      <c r="G813">
        <f t="shared" si="63"/>
        <v>0.032452646508271</v>
      </c>
    </row>
    <row r="814" spans="1:7">
      <c r="A814" s="1">
        <v>39720</v>
      </c>
      <c r="B814">
        <v>1.4349</v>
      </c>
      <c r="C814">
        <f t="shared" si="60"/>
        <v>-2.00772551668959</v>
      </c>
      <c r="D814">
        <f t="shared" si="61"/>
        <v>1.13547383600686</v>
      </c>
      <c r="E814">
        <f t="shared" si="62"/>
        <v>0.83927189823783</v>
      </c>
      <c r="F814">
        <f t="shared" si="64"/>
        <v>1.838538068772</v>
      </c>
      <c r="G814">
        <f t="shared" si="63"/>
        <v>2.31385327818793</v>
      </c>
    </row>
    <row r="815" spans="1:7">
      <c r="A815" s="1">
        <v>39721</v>
      </c>
      <c r="B815">
        <v>1.4303</v>
      </c>
      <c r="C815">
        <f t="shared" si="60"/>
        <v>-0.321094789350664</v>
      </c>
      <c r="D815">
        <f t="shared" si="61"/>
        <v>1.42502262744282</v>
      </c>
      <c r="E815">
        <f t="shared" si="62"/>
        <v>0.991463671861885</v>
      </c>
      <c r="F815">
        <f t="shared" si="64"/>
        <v>0.213269364366407</v>
      </c>
      <c r="G815">
        <f t="shared" si="63"/>
        <v>0.0477082907124196</v>
      </c>
    </row>
    <row r="816" spans="1:7">
      <c r="A816" s="1">
        <v>39722</v>
      </c>
      <c r="B816">
        <v>1.4081</v>
      </c>
      <c r="C816">
        <f t="shared" si="60"/>
        <v>-1.56429345375885</v>
      </c>
      <c r="D816">
        <f t="shared" si="61"/>
        <v>1.29283055107335</v>
      </c>
      <c r="E816">
        <f t="shared" si="62"/>
        <v>0.938130944737579</v>
      </c>
      <c r="F816">
        <f t="shared" si="64"/>
        <v>1.07479549462624</v>
      </c>
      <c r="G816">
        <f t="shared" si="63"/>
        <v>1.27226353424418</v>
      </c>
    </row>
    <row r="817" spans="1:7">
      <c r="A817" s="1">
        <v>39723</v>
      </c>
      <c r="B817">
        <v>1.3903</v>
      </c>
      <c r="C817">
        <f t="shared" si="60"/>
        <v>-1.27217267477681</v>
      </c>
      <c r="D817">
        <f t="shared" si="61"/>
        <v>1.4082488969133</v>
      </c>
      <c r="E817">
        <f t="shared" si="62"/>
        <v>1.00519378852696</v>
      </c>
      <c r="F817">
        <f t="shared" si="64"/>
        <v>0.745796118135481</v>
      </c>
      <c r="G817">
        <f t="shared" si="63"/>
        <v>0.807620672718424</v>
      </c>
    </row>
    <row r="818" spans="1:7">
      <c r="A818" s="1">
        <v>39724</v>
      </c>
      <c r="B818">
        <v>1.3834</v>
      </c>
      <c r="C818">
        <f t="shared" si="60"/>
        <v>-0.497531400901334</v>
      </c>
      <c r="D818">
        <f t="shared" si="61"/>
        <v>1.42926633866685</v>
      </c>
      <c r="E818">
        <f t="shared" si="62"/>
        <v>1.02680332693779</v>
      </c>
      <c r="F818">
        <f t="shared" si="64"/>
        <v>0.265176631071587</v>
      </c>
      <c r="G818">
        <f t="shared" si="63"/>
        <v>0.133763134954275</v>
      </c>
    </row>
    <row r="819" spans="1:7">
      <c r="A819" s="1">
        <v>39727</v>
      </c>
      <c r="B819">
        <v>1.3634</v>
      </c>
      <c r="C819">
        <f t="shared" si="60"/>
        <v>-1.45626572377995</v>
      </c>
      <c r="D819">
        <f t="shared" si="61"/>
        <v>1.31109345428845</v>
      </c>
      <c r="E819">
        <f t="shared" si="62"/>
        <v>0.97857200206566</v>
      </c>
      <c r="F819">
        <f t="shared" si="64"/>
        <v>0.94418691999109</v>
      </c>
      <c r="G819">
        <f t="shared" si="63"/>
        <v>1.07274328973545</v>
      </c>
    </row>
    <row r="820" spans="1:7">
      <c r="A820" s="1">
        <v>39728</v>
      </c>
      <c r="B820">
        <v>1.3632</v>
      </c>
      <c r="C820">
        <f t="shared" si="60"/>
        <v>-0.0146702853633643</v>
      </c>
      <c r="D820">
        <f t="shared" si="61"/>
        <v>1.39205509468524</v>
      </c>
      <c r="E820">
        <f t="shared" si="62"/>
        <v>1.02689317485454</v>
      </c>
      <c r="F820">
        <f t="shared" si="64"/>
        <v>0.165467872317371</v>
      </c>
      <c r="G820">
        <f t="shared" si="63"/>
        <v>0.0133737449082221</v>
      </c>
    </row>
    <row r="821" spans="1:7">
      <c r="A821" s="1">
        <v>39729</v>
      </c>
      <c r="B821">
        <v>1.3731</v>
      </c>
      <c r="C821">
        <f t="shared" si="60"/>
        <v>0.723608025265483</v>
      </c>
      <c r="D821">
        <f t="shared" si="61"/>
        <v>1.25287110694398</v>
      </c>
      <c r="E821">
        <f t="shared" si="62"/>
        <v>0.966290345226897</v>
      </c>
      <c r="F821">
        <f t="shared" si="64"/>
        <v>0.321682366058226</v>
      </c>
      <c r="G821">
        <f t="shared" si="63"/>
        <v>0.253792033832936</v>
      </c>
    </row>
    <row r="822" spans="1:7">
      <c r="A822" s="1">
        <v>39730</v>
      </c>
      <c r="B822">
        <v>1.3682</v>
      </c>
      <c r="C822">
        <f t="shared" si="60"/>
        <v>-0.357495000080843</v>
      </c>
      <c r="D822">
        <f t="shared" si="61"/>
        <v>1.17994485367244</v>
      </c>
      <c r="E822">
        <f t="shared" si="62"/>
        <v>0.935493353224714</v>
      </c>
      <c r="F822">
        <f t="shared" si="64"/>
        <v>0.136890058433039</v>
      </c>
      <c r="G822">
        <f t="shared" si="63"/>
        <v>0.0349670147849717</v>
      </c>
    </row>
    <row r="823" spans="1:7">
      <c r="A823" s="1">
        <v>39731</v>
      </c>
      <c r="B823">
        <v>1.3579</v>
      </c>
      <c r="C823">
        <f t="shared" si="60"/>
        <v>-0.755661862214863</v>
      </c>
      <c r="D823">
        <f t="shared" si="61"/>
        <v>1.07473063581348</v>
      </c>
      <c r="E823">
        <f t="shared" si="62"/>
        <v>0.886753885785371</v>
      </c>
      <c r="F823">
        <f t="shared" si="64"/>
        <v>0.301694549574686</v>
      </c>
      <c r="G823">
        <f t="shared" si="63"/>
        <v>0.261880920886844</v>
      </c>
    </row>
    <row r="824" spans="1:7">
      <c r="A824" s="1">
        <v>39734</v>
      </c>
      <c r="B824">
        <v>1.3639</v>
      </c>
      <c r="C824">
        <f t="shared" si="60"/>
        <v>0.440885422808023</v>
      </c>
      <c r="D824">
        <f t="shared" si="61"/>
        <v>1.02436005723273</v>
      </c>
      <c r="E824">
        <f t="shared" si="62"/>
        <v>0.863099895138551</v>
      </c>
      <c r="F824">
        <f t="shared" si="64"/>
        <v>0.106912768409813</v>
      </c>
      <c r="G824">
        <f t="shared" si="63"/>
        <v>0.0389932911466185</v>
      </c>
    </row>
    <row r="825" spans="1:7">
      <c r="A825" s="1">
        <v>39735</v>
      </c>
      <c r="B825">
        <v>1.3752</v>
      </c>
      <c r="C825">
        <f t="shared" si="60"/>
        <v>0.825093213581001</v>
      </c>
      <c r="D825">
        <f t="shared" si="61"/>
        <v>0.94136204711392</v>
      </c>
      <c r="E825">
        <f t="shared" si="62"/>
        <v>0.822032899232468</v>
      </c>
      <c r="F825">
        <f t="shared" si="64"/>
        <v>0.331378713286552</v>
      </c>
      <c r="G825">
        <f t="shared" si="63"/>
        <v>0.316095029862618</v>
      </c>
    </row>
    <row r="826" spans="1:7">
      <c r="A826" s="1">
        <v>39736</v>
      </c>
      <c r="B826">
        <v>1.3625</v>
      </c>
      <c r="C826">
        <f t="shared" si="60"/>
        <v>-0.927792753124036</v>
      </c>
      <c r="D826">
        <f t="shared" si="61"/>
        <v>0.91530372351227</v>
      </c>
      <c r="E826">
        <f t="shared" si="62"/>
        <v>0.807749865833391</v>
      </c>
      <c r="F826">
        <f t="shared" si="64"/>
        <v>0.425976430535446</v>
      </c>
      <c r="G826">
        <f t="shared" si="63"/>
        <v>0.426086423035145</v>
      </c>
    </row>
    <row r="827" spans="1:7">
      <c r="A827" s="1">
        <v>39737</v>
      </c>
      <c r="B827">
        <v>1.3507</v>
      </c>
      <c r="C827">
        <f t="shared" si="60"/>
        <v>-0.869827097068071</v>
      </c>
      <c r="D827">
        <f t="shared" si="61"/>
        <v>0.909853290435991</v>
      </c>
      <c r="E827">
        <f t="shared" si="62"/>
        <v>0.803324843520862</v>
      </c>
      <c r="F827">
        <f t="shared" si="64"/>
        <v>0.368544910518031</v>
      </c>
      <c r="G827">
        <f t="shared" si="63"/>
        <v>0.361419273983298</v>
      </c>
    </row>
    <row r="828" spans="1:7">
      <c r="A828" s="1">
        <v>39738</v>
      </c>
      <c r="B828">
        <v>1.3404</v>
      </c>
      <c r="C828">
        <f t="shared" si="60"/>
        <v>-0.765489970356309</v>
      </c>
      <c r="D828">
        <f t="shared" si="61"/>
        <v>0.894527879271779</v>
      </c>
      <c r="E828">
        <f t="shared" si="62"/>
        <v>0.793955311849303</v>
      </c>
      <c r="F828">
        <f t="shared" si="64"/>
        <v>0.271803448533023</v>
      </c>
      <c r="G828">
        <f t="shared" si="63"/>
        <v>0.253658541499133</v>
      </c>
    </row>
    <row r="829" spans="1:7">
      <c r="A829" s="1">
        <v>39741</v>
      </c>
      <c r="B829">
        <v>1.3424</v>
      </c>
      <c r="C829">
        <f t="shared" si="60"/>
        <v>0.149097984978638</v>
      </c>
      <c r="D829">
        <f t="shared" si="61"/>
        <v>0.863672580816211</v>
      </c>
      <c r="E829">
        <f t="shared" si="62"/>
        <v>0.77661673787415</v>
      </c>
      <c r="F829">
        <f t="shared" si="64"/>
        <v>-0.0604111883170937</v>
      </c>
      <c r="G829">
        <f t="shared" si="63"/>
        <v>-0.112091941075087</v>
      </c>
    </row>
    <row r="830" spans="1:7">
      <c r="A830" s="1">
        <v>39742</v>
      </c>
      <c r="B830">
        <v>1.3184</v>
      </c>
      <c r="C830">
        <f t="shared" si="60"/>
        <v>-1.80401765577345</v>
      </c>
      <c r="D830">
        <f t="shared" si="61"/>
        <v>0.779528343647059</v>
      </c>
      <c r="E830">
        <f t="shared" si="62"/>
        <v>0.732131244057936</v>
      </c>
      <c r="F830">
        <f t="shared" si="64"/>
        <v>1.96293408808484</v>
      </c>
      <c r="G830">
        <f t="shared" si="63"/>
        <v>2.06670901556034</v>
      </c>
    </row>
    <row r="831" spans="1:7">
      <c r="A831" s="1">
        <v>39743</v>
      </c>
      <c r="B831">
        <v>1.2843</v>
      </c>
      <c r="C831">
        <f t="shared" si="60"/>
        <v>-2.62050573361971</v>
      </c>
      <c r="D831">
        <f t="shared" si="61"/>
        <v>1.02702347951659</v>
      </c>
      <c r="E831">
        <f t="shared" si="62"/>
        <v>0.851927354531576</v>
      </c>
      <c r="F831">
        <f t="shared" si="64"/>
        <v>3.35651316929267</v>
      </c>
      <c r="G831">
        <f t="shared" si="63"/>
        <v>3.95017572828322</v>
      </c>
    </row>
    <row r="832" spans="1:7">
      <c r="A832" s="1">
        <v>39744</v>
      </c>
      <c r="B832">
        <v>1.281</v>
      </c>
      <c r="C832">
        <f t="shared" si="60"/>
        <v>-0.257279992227593</v>
      </c>
      <c r="D832">
        <f t="shared" si="61"/>
        <v>1.61102616155831</v>
      </c>
      <c r="E832">
        <f t="shared" si="62"/>
        <v>1.14516422825637</v>
      </c>
      <c r="F832">
        <f t="shared" si="64"/>
        <v>0.25897940834639</v>
      </c>
      <c r="G832">
        <f t="shared" si="63"/>
        <v>0.096675121179259</v>
      </c>
    </row>
    <row r="833" spans="1:7">
      <c r="A833" s="1">
        <v>39745</v>
      </c>
      <c r="B833">
        <v>1.2596</v>
      </c>
      <c r="C833">
        <f t="shared" si="60"/>
        <v>-1.68468126698646</v>
      </c>
      <c r="D833">
        <f t="shared" si="61"/>
        <v>1.45654284484254</v>
      </c>
      <c r="E833">
        <f t="shared" si="62"/>
        <v>1.08076402428102</v>
      </c>
      <c r="F833">
        <f t="shared" si="64"/>
        <v>1.16230937085073</v>
      </c>
      <c r="G833">
        <f t="shared" si="63"/>
        <v>1.35186401688115</v>
      </c>
    </row>
    <row r="834" spans="1:7">
      <c r="A834" s="1">
        <v>39748</v>
      </c>
      <c r="B834">
        <v>1.246</v>
      </c>
      <c r="C834">
        <f t="shared" si="60"/>
        <v>-1.08557898794711</v>
      </c>
      <c r="D834">
        <f t="shared" si="61"/>
        <v>1.59470365749179</v>
      </c>
      <c r="E834">
        <f t="shared" si="62"/>
        <v>1.15882573139091</v>
      </c>
      <c r="F834">
        <f t="shared" si="64"/>
        <v>0.602842625282183</v>
      </c>
      <c r="G834">
        <f t="shared" si="63"/>
        <v>0.582184598362734</v>
      </c>
    </row>
    <row r="835" spans="1:7">
      <c r="A835" s="1">
        <v>39749</v>
      </c>
      <c r="B835">
        <v>1.2526</v>
      </c>
      <c r="C835">
        <f t="shared" si="60"/>
        <v>0.528297074391404</v>
      </c>
      <c r="D835">
        <f t="shared" si="61"/>
        <v>1.55308146564984</v>
      </c>
      <c r="E835">
        <f t="shared" si="62"/>
        <v>1.14922027446107</v>
      </c>
      <c r="F835">
        <f t="shared" si="64"/>
        <v>0.309973416471953</v>
      </c>
      <c r="G835">
        <f t="shared" si="63"/>
        <v>0.190971045846019</v>
      </c>
    </row>
    <row r="836" spans="1:7">
      <c r="A836" s="1">
        <v>39750</v>
      </c>
      <c r="B836">
        <v>1.277</v>
      </c>
      <c r="C836">
        <f t="shared" ref="C836:C899" si="65">100*LN(B836/B835)</f>
        <v>1.92921859412268</v>
      </c>
      <c r="D836">
        <f t="shared" si="61"/>
        <v>1.42568309896591</v>
      </c>
      <c r="E836">
        <f t="shared" si="62"/>
        <v>1.09522194793393</v>
      </c>
      <c r="F836">
        <f t="shared" si="64"/>
        <v>1.4826241605144</v>
      </c>
      <c r="G836">
        <f t="shared" si="63"/>
        <v>1.74462470007384</v>
      </c>
    </row>
    <row r="837" spans="1:7">
      <c r="A837" s="1">
        <v>39751</v>
      </c>
      <c r="B837">
        <v>1.3035</v>
      </c>
      <c r="C837">
        <f t="shared" si="65"/>
        <v>2.05393773410173</v>
      </c>
      <c r="D837">
        <f t="shared" ref="D837:D900" si="66">$J$1*D836+(1-$J$1)*C836^2</f>
        <v>1.65530322746019</v>
      </c>
      <c r="E837">
        <f t="shared" ref="E837:E900" si="67">$K$1+$K$2*C836^2+$K$3*E836</f>
        <v>1.21660285025333</v>
      </c>
      <c r="F837">
        <f t="shared" si="64"/>
        <v>1.52627833465572</v>
      </c>
      <c r="G837">
        <f t="shared" ref="G837:G900" si="68">0.5*(LN(E837)+C837^2/E837)</f>
        <v>1.83181813217764</v>
      </c>
    </row>
    <row r="838" spans="1:7">
      <c r="A838" s="1">
        <v>39752</v>
      </c>
      <c r="B838">
        <v>1.2757</v>
      </c>
      <c r="C838">
        <f t="shared" si="65"/>
        <v>-2.15579068293122</v>
      </c>
      <c r="D838">
        <f t="shared" si="66"/>
        <v>1.91163892627086</v>
      </c>
      <c r="E838">
        <f t="shared" si="67"/>
        <v>1.35553969001648</v>
      </c>
      <c r="F838">
        <f t="shared" si="64"/>
        <v>1.53954304962876</v>
      </c>
      <c r="G838">
        <f t="shared" si="68"/>
        <v>1.8663371617186</v>
      </c>
    </row>
    <row r="839" spans="1:7">
      <c r="A839" s="1">
        <v>39755</v>
      </c>
      <c r="B839">
        <v>1.2822</v>
      </c>
      <c r="C839">
        <f t="shared" si="65"/>
        <v>0.50823050089125</v>
      </c>
      <c r="D839">
        <f t="shared" si="66"/>
        <v>2.18521838050508</v>
      </c>
      <c r="E839">
        <f t="shared" si="67"/>
        <v>1.50757898204614</v>
      </c>
      <c r="F839">
        <f t="shared" ref="F839:F902" si="69">0.5*(LN(D839)+C839^2/D839)</f>
        <v>0.449959126747605</v>
      </c>
      <c r="G839">
        <f t="shared" si="68"/>
        <v>0.290919090902905</v>
      </c>
    </row>
    <row r="840" spans="1:7">
      <c r="A840" s="1">
        <v>39756</v>
      </c>
      <c r="B840">
        <v>1.282</v>
      </c>
      <c r="C840">
        <f t="shared" si="65"/>
        <v>-0.0155994072541585</v>
      </c>
      <c r="D840">
        <f t="shared" si="66"/>
        <v>1.99252636665819</v>
      </c>
      <c r="E840">
        <f t="shared" si="67"/>
        <v>1.43103915522518</v>
      </c>
      <c r="F840">
        <f t="shared" si="69"/>
        <v>0.344762745833672</v>
      </c>
      <c r="G840">
        <f t="shared" si="68"/>
        <v>0.179285453829444</v>
      </c>
    </row>
    <row r="841" spans="1:7">
      <c r="A841" s="1">
        <v>39757</v>
      </c>
      <c r="B841">
        <v>1.287</v>
      </c>
      <c r="C841">
        <f t="shared" si="65"/>
        <v>0.389257011551123</v>
      </c>
      <c r="D841">
        <f t="shared" si="66"/>
        <v>1.79329806414304</v>
      </c>
      <c r="E841">
        <f t="shared" si="67"/>
        <v>1.34618897298701</v>
      </c>
      <c r="F841">
        <f t="shared" si="69"/>
        <v>0.334274677929952</v>
      </c>
      <c r="G841">
        <f t="shared" si="68"/>
        <v>0.204916576535727</v>
      </c>
    </row>
    <row r="842" spans="1:7">
      <c r="A842" s="1">
        <v>39758</v>
      </c>
      <c r="B842">
        <v>1.277</v>
      </c>
      <c r="C842">
        <f t="shared" si="65"/>
        <v>-0.78003515635874</v>
      </c>
      <c r="D842">
        <f t="shared" si="66"/>
        <v>1.62912035983291</v>
      </c>
      <c r="E842">
        <f t="shared" si="67"/>
        <v>1.27399368565987</v>
      </c>
      <c r="F842">
        <f t="shared" si="69"/>
        <v>0.430763474122784</v>
      </c>
      <c r="G842">
        <f t="shared" si="68"/>
        <v>0.359876518962025</v>
      </c>
    </row>
    <row r="843" spans="1:7">
      <c r="A843" s="1">
        <v>39759</v>
      </c>
      <c r="B843">
        <v>1.2756</v>
      </c>
      <c r="C843">
        <f t="shared" si="65"/>
        <v>-0.109692089663664</v>
      </c>
      <c r="D843">
        <f t="shared" si="66"/>
        <v>1.52705380836518</v>
      </c>
      <c r="E843">
        <f t="shared" si="67"/>
        <v>1.22897680677806</v>
      </c>
      <c r="F843">
        <f t="shared" si="69"/>
        <v>0.21560986019462</v>
      </c>
      <c r="G843">
        <f t="shared" si="68"/>
        <v>0.107986252626492</v>
      </c>
    </row>
    <row r="844" spans="1:7">
      <c r="A844" s="1">
        <v>39762</v>
      </c>
      <c r="B844">
        <v>1.2891</v>
      </c>
      <c r="C844">
        <f t="shared" si="65"/>
        <v>1.05276443131565</v>
      </c>
      <c r="D844">
        <f t="shared" si="66"/>
        <v>1.37555166298214</v>
      </c>
      <c r="E844">
        <f t="shared" si="67"/>
        <v>1.15683981609811</v>
      </c>
      <c r="F844">
        <f t="shared" si="69"/>
        <v>0.562288688432912</v>
      </c>
      <c r="G844">
        <f t="shared" si="68"/>
        <v>0.551872102841239</v>
      </c>
    </row>
    <row r="845" spans="1:7">
      <c r="A845" s="1">
        <v>39763</v>
      </c>
      <c r="B845">
        <v>1.2747</v>
      </c>
      <c r="C845">
        <f t="shared" si="65"/>
        <v>-1.12334436601835</v>
      </c>
      <c r="D845">
        <f t="shared" si="66"/>
        <v>1.34882779146826</v>
      </c>
      <c r="E845">
        <f t="shared" si="67"/>
        <v>1.1438450745244</v>
      </c>
      <c r="F845">
        <f t="shared" si="69"/>
        <v>0.617395448987578</v>
      </c>
      <c r="G845">
        <f t="shared" si="68"/>
        <v>0.618803271741118</v>
      </c>
    </row>
    <row r="846" spans="1:7">
      <c r="A846" s="1">
        <v>39764</v>
      </c>
      <c r="B846">
        <v>1.253</v>
      </c>
      <c r="C846">
        <f t="shared" si="65"/>
        <v>-1.71701808928073</v>
      </c>
      <c r="D846">
        <f t="shared" si="66"/>
        <v>1.34013526878795</v>
      </c>
      <c r="E846">
        <f t="shared" si="67"/>
        <v>1.13930949828619</v>
      </c>
      <c r="F846">
        <f t="shared" si="69"/>
        <v>1.24633062949227</v>
      </c>
      <c r="G846">
        <f t="shared" si="68"/>
        <v>1.35904360269403</v>
      </c>
    </row>
    <row r="847" spans="1:7">
      <c r="A847" s="1">
        <v>39765</v>
      </c>
      <c r="B847">
        <v>1.2525</v>
      </c>
      <c r="C847">
        <f t="shared" si="65"/>
        <v>-0.0399121937048441</v>
      </c>
      <c r="D847">
        <f t="shared" si="66"/>
        <v>1.50093685380088</v>
      </c>
      <c r="E847">
        <f t="shared" si="67"/>
        <v>1.21935848433488</v>
      </c>
      <c r="F847">
        <f t="shared" si="69"/>
        <v>0.203575404139658</v>
      </c>
      <c r="G847">
        <f t="shared" si="68"/>
        <v>0.0998156494136567</v>
      </c>
    </row>
    <row r="848" spans="1:7">
      <c r="A848" s="1">
        <v>39766</v>
      </c>
      <c r="B848">
        <v>1.2675</v>
      </c>
      <c r="C848">
        <f t="shared" si="65"/>
        <v>1.19049025063185</v>
      </c>
      <c r="D848">
        <f t="shared" si="66"/>
        <v>1.35100246674143</v>
      </c>
      <c r="E848">
        <f t="shared" si="67"/>
        <v>1.14727662443511</v>
      </c>
      <c r="F848">
        <f t="shared" si="69"/>
        <v>0.674947664891471</v>
      </c>
      <c r="G848">
        <f t="shared" si="68"/>
        <v>0.686361276978764</v>
      </c>
    </row>
    <row r="849" spans="1:7">
      <c r="A849" s="1">
        <v>39769</v>
      </c>
      <c r="B849">
        <v>1.266</v>
      </c>
      <c r="C849">
        <f t="shared" si="65"/>
        <v>-0.11841327612168</v>
      </c>
      <c r="D849">
        <f t="shared" si="66"/>
        <v>1.35762892375223</v>
      </c>
      <c r="E849">
        <f t="shared" si="67"/>
        <v>1.15030337881147</v>
      </c>
      <c r="F849">
        <f t="shared" si="69"/>
        <v>0.158033911295945</v>
      </c>
      <c r="G849">
        <f t="shared" si="68"/>
        <v>0.0761076427989643</v>
      </c>
    </row>
    <row r="850" spans="1:7">
      <c r="A850" s="1">
        <v>39770</v>
      </c>
      <c r="B850">
        <v>1.2653</v>
      </c>
      <c r="C850">
        <f t="shared" si="65"/>
        <v>-0.0553075508903398</v>
      </c>
      <c r="D850">
        <f t="shared" si="66"/>
        <v>1.2232682017732</v>
      </c>
      <c r="E850">
        <f t="shared" si="67"/>
        <v>1.08298626128088</v>
      </c>
      <c r="F850">
        <f t="shared" si="69"/>
        <v>0.10201337393101</v>
      </c>
      <c r="G850">
        <f t="shared" si="68"/>
        <v>0.0412734051472938</v>
      </c>
    </row>
    <row r="851" spans="1:7">
      <c r="A851" s="1">
        <v>39771</v>
      </c>
      <c r="B851">
        <v>1.2634</v>
      </c>
      <c r="C851">
        <f t="shared" si="65"/>
        <v>-0.150274873061803</v>
      </c>
      <c r="D851">
        <f t="shared" si="66"/>
        <v>1.10124727411442</v>
      </c>
      <c r="E851">
        <f t="shared" si="67"/>
        <v>1.0191600318633</v>
      </c>
      <c r="F851">
        <f t="shared" si="69"/>
        <v>0.0584748753464733</v>
      </c>
      <c r="G851">
        <f t="shared" si="68"/>
        <v>0.0205683897736998</v>
      </c>
    </row>
    <row r="852" spans="1:7">
      <c r="A852" s="1">
        <v>39772</v>
      </c>
      <c r="B852">
        <v>1.2542</v>
      </c>
      <c r="C852">
        <f t="shared" si="65"/>
        <v>-0.730858035567967</v>
      </c>
      <c r="D852">
        <f t="shared" si="66"/>
        <v>0.993380800450356</v>
      </c>
      <c r="E852">
        <f t="shared" si="67"/>
        <v>0.960139556825188</v>
      </c>
      <c r="F852">
        <f t="shared" si="69"/>
        <v>0.265535746091923</v>
      </c>
      <c r="G852">
        <f t="shared" si="68"/>
        <v>0.25782617739054</v>
      </c>
    </row>
    <row r="853" spans="1:7">
      <c r="A853" s="1">
        <v>39773</v>
      </c>
      <c r="B853">
        <v>1.2602</v>
      </c>
      <c r="C853">
        <f t="shared" si="65"/>
        <v>0.477251939903471</v>
      </c>
      <c r="D853">
        <f t="shared" si="66"/>
        <v>0.947458067220747</v>
      </c>
      <c r="E853">
        <f t="shared" si="67"/>
        <v>0.93023885682339</v>
      </c>
      <c r="F853">
        <f t="shared" si="69"/>
        <v>0.0932139614919624</v>
      </c>
      <c r="G853">
        <f t="shared" si="68"/>
        <v>0.0862682858907574</v>
      </c>
    </row>
    <row r="854" spans="1:7">
      <c r="A854" s="1">
        <v>39776</v>
      </c>
      <c r="B854">
        <v>1.2773</v>
      </c>
      <c r="C854">
        <f t="shared" si="65"/>
        <v>1.34780365407761</v>
      </c>
      <c r="D854">
        <f t="shared" si="66"/>
        <v>0.875489201912835</v>
      </c>
      <c r="E854">
        <f t="shared" si="67"/>
        <v>0.886812996121068</v>
      </c>
      <c r="F854">
        <f t="shared" si="69"/>
        <v>0.970976416677642</v>
      </c>
      <c r="G854">
        <f t="shared" si="68"/>
        <v>0.964154620986607</v>
      </c>
    </row>
    <row r="855" spans="1:7">
      <c r="A855" s="1">
        <v>39777</v>
      </c>
      <c r="B855">
        <v>1.2811</v>
      </c>
      <c r="C855">
        <f t="shared" si="65"/>
        <v>0.297060881365672</v>
      </c>
      <c r="D855">
        <f t="shared" si="66"/>
        <v>0.969597750716046</v>
      </c>
      <c r="E855">
        <f t="shared" si="67"/>
        <v>0.925432950851051</v>
      </c>
      <c r="F855">
        <f t="shared" si="69"/>
        <v>0.0300690787808003</v>
      </c>
      <c r="G855">
        <f t="shared" si="68"/>
        <v>0.00893097657965543</v>
      </c>
    </row>
    <row r="856" spans="1:7">
      <c r="A856" s="1">
        <v>39778</v>
      </c>
      <c r="B856">
        <v>1.2935</v>
      </c>
      <c r="C856">
        <f t="shared" si="65"/>
        <v>0.963263876369598</v>
      </c>
      <c r="D856">
        <f t="shared" si="66"/>
        <v>0.881462492368217</v>
      </c>
      <c r="E856">
        <f t="shared" si="67"/>
        <v>0.875319232161876</v>
      </c>
      <c r="F856">
        <f t="shared" si="69"/>
        <v>0.463241877732107</v>
      </c>
      <c r="G856">
        <f t="shared" si="68"/>
        <v>0.463438914647056</v>
      </c>
    </row>
    <row r="857" spans="1:7">
      <c r="A857" s="1">
        <v>39779</v>
      </c>
      <c r="B857">
        <v>1.29</v>
      </c>
      <c r="C857">
        <f t="shared" si="65"/>
        <v>-0.270950427036611</v>
      </c>
      <c r="D857">
        <f t="shared" si="66"/>
        <v>0.886103972683253</v>
      </c>
      <c r="E857">
        <f t="shared" si="67"/>
        <v>0.870193943008092</v>
      </c>
      <c r="F857">
        <f t="shared" si="69"/>
        <v>-0.0190352554366328</v>
      </c>
      <c r="G857">
        <f t="shared" si="68"/>
        <v>-0.0273369570839304</v>
      </c>
    </row>
    <row r="858" spans="1:7">
      <c r="A858" s="1">
        <v>39780</v>
      </c>
      <c r="B858">
        <v>1.2727</v>
      </c>
      <c r="C858">
        <f t="shared" si="65"/>
        <v>-1.35015903577164</v>
      </c>
      <c r="D858">
        <f t="shared" si="66"/>
        <v>0.80483498880606</v>
      </c>
      <c r="E858">
        <f t="shared" si="67"/>
        <v>0.822653013123173</v>
      </c>
      <c r="F858">
        <f t="shared" si="69"/>
        <v>1.02392743688676</v>
      </c>
      <c r="G858">
        <f t="shared" si="68"/>
        <v>1.01034727455988</v>
      </c>
    </row>
    <row r="859" spans="1:7">
      <c r="A859" s="1">
        <v>39783</v>
      </c>
      <c r="B859">
        <v>1.2608</v>
      </c>
      <c r="C859">
        <f t="shared" si="65"/>
        <v>-0.939418789438674</v>
      </c>
      <c r="D859">
        <f t="shared" si="66"/>
        <v>0.906644432113034</v>
      </c>
      <c r="E859">
        <f t="shared" si="67"/>
        <v>0.865440303429573</v>
      </c>
      <c r="F859">
        <f t="shared" si="69"/>
        <v>0.43768648869535</v>
      </c>
      <c r="G859">
        <f t="shared" si="68"/>
        <v>0.437602065823051</v>
      </c>
    </row>
    <row r="860" spans="1:7">
      <c r="A860" s="1">
        <v>39784</v>
      </c>
      <c r="B860">
        <v>1.2697</v>
      </c>
      <c r="C860">
        <f t="shared" si="65"/>
        <v>0.703421197213105</v>
      </c>
      <c r="D860">
        <f t="shared" si="66"/>
        <v>0.904230755096773</v>
      </c>
      <c r="E860">
        <f t="shared" si="67"/>
        <v>0.85863926832132</v>
      </c>
      <c r="F860">
        <f t="shared" si="69"/>
        <v>0.223268144432678</v>
      </c>
      <c r="G860">
        <f t="shared" si="68"/>
        <v>0.211927921202686</v>
      </c>
    </row>
    <row r="861" spans="1:7">
      <c r="A861" s="1">
        <v>39785</v>
      </c>
      <c r="B861">
        <v>1.2623</v>
      </c>
      <c r="C861">
        <f t="shared" si="65"/>
        <v>-0.584519831692979</v>
      </c>
      <c r="D861">
        <f t="shared" si="66"/>
        <v>0.863287817655968</v>
      </c>
      <c r="E861">
        <f t="shared" si="67"/>
        <v>0.832860981256476</v>
      </c>
      <c r="F861">
        <f t="shared" si="69"/>
        <v>0.124381440532598</v>
      </c>
      <c r="G861">
        <f t="shared" si="68"/>
        <v>0.113670053602135</v>
      </c>
    </row>
    <row r="862" spans="1:7">
      <c r="A862" s="1">
        <v>39786</v>
      </c>
      <c r="B862">
        <v>1.262</v>
      </c>
      <c r="C862">
        <f t="shared" si="65"/>
        <v>-0.0237689657657489</v>
      </c>
      <c r="D862">
        <f t="shared" si="66"/>
        <v>0.81112537925461</v>
      </c>
      <c r="E862">
        <f t="shared" si="67"/>
        <v>0.800972494063207</v>
      </c>
      <c r="F862">
        <f t="shared" si="69"/>
        <v>-0.104318060048335</v>
      </c>
      <c r="G862">
        <f t="shared" si="68"/>
        <v>-0.110611662382772</v>
      </c>
    </row>
    <row r="863" spans="1:7">
      <c r="A863" s="1">
        <v>39787</v>
      </c>
      <c r="B863">
        <v>1.2665</v>
      </c>
      <c r="C863">
        <f t="shared" si="65"/>
        <v>0.355942634057134</v>
      </c>
      <c r="D863">
        <f t="shared" si="66"/>
        <v>0.730069337702506</v>
      </c>
      <c r="E863">
        <f t="shared" si="67"/>
        <v>0.753942392606093</v>
      </c>
      <c r="F863">
        <f t="shared" si="69"/>
        <v>-0.070538618730528</v>
      </c>
      <c r="G863">
        <f t="shared" si="68"/>
        <v>-0.0571978814181133</v>
      </c>
    </row>
    <row r="864" spans="1:7">
      <c r="A864" s="1">
        <v>39790</v>
      </c>
      <c r="B864">
        <v>1.2854</v>
      </c>
      <c r="C864">
        <f t="shared" si="65"/>
        <v>1.48127634954561</v>
      </c>
      <c r="D864">
        <f t="shared" si="66"/>
        <v>0.669731919806209</v>
      </c>
      <c r="E864">
        <f t="shared" si="67"/>
        <v>0.716040606986704</v>
      </c>
      <c r="F864">
        <f t="shared" si="69"/>
        <v>1.43766403444636</v>
      </c>
      <c r="G864">
        <f t="shared" si="68"/>
        <v>1.3651522461118</v>
      </c>
    </row>
    <row r="865" spans="1:7">
      <c r="A865" s="1">
        <v>39791</v>
      </c>
      <c r="B865">
        <v>1.2838</v>
      </c>
      <c r="C865">
        <f t="shared" si="65"/>
        <v>-0.124552405950809</v>
      </c>
      <c r="D865">
        <f t="shared" si="66"/>
        <v>0.822176690197905</v>
      </c>
      <c r="E865">
        <f t="shared" si="67"/>
        <v>0.78378715175366</v>
      </c>
      <c r="F865">
        <f t="shared" si="69"/>
        <v>-0.0884656906571728</v>
      </c>
      <c r="G865">
        <f t="shared" si="68"/>
        <v>-0.111912518642882</v>
      </c>
    </row>
    <row r="866" spans="1:7">
      <c r="A866" s="1">
        <v>39792</v>
      </c>
      <c r="B866">
        <v>1.2925</v>
      </c>
      <c r="C866">
        <f t="shared" si="65"/>
        <v>0.675389750490639</v>
      </c>
      <c r="D866">
        <f t="shared" si="66"/>
        <v>0.741510351360928</v>
      </c>
      <c r="E866">
        <f t="shared" si="67"/>
        <v>0.738535587739847</v>
      </c>
      <c r="F866">
        <f t="shared" si="69"/>
        <v>0.1580494885401</v>
      </c>
      <c r="G866">
        <f t="shared" si="68"/>
        <v>0.157278491340835</v>
      </c>
    </row>
    <row r="867" spans="1:7">
      <c r="A867" s="1">
        <v>39793</v>
      </c>
      <c r="B867">
        <v>1.3215</v>
      </c>
      <c r="C867">
        <f t="shared" si="65"/>
        <v>2.21891276617597</v>
      </c>
      <c r="D867">
        <f t="shared" si="66"/>
        <v>0.712974447731616</v>
      </c>
      <c r="E867">
        <f t="shared" si="67"/>
        <v>0.718031018228847</v>
      </c>
      <c r="F867">
        <f t="shared" si="69"/>
        <v>3.28368548795196</v>
      </c>
      <c r="G867">
        <f t="shared" si="68"/>
        <v>3.26290323691533</v>
      </c>
    </row>
    <row r="868" spans="1:7">
      <c r="A868" s="1">
        <v>39794</v>
      </c>
      <c r="B868">
        <v>1.334</v>
      </c>
      <c r="C868">
        <f t="shared" si="65"/>
        <v>0.941449243122537</v>
      </c>
      <c r="D868">
        <f t="shared" si="66"/>
        <v>1.13403438934832</v>
      </c>
      <c r="E868">
        <f t="shared" si="67"/>
        <v>0.922127850330051</v>
      </c>
      <c r="F868">
        <f t="shared" si="69"/>
        <v>0.453675509415355</v>
      </c>
      <c r="G868">
        <f t="shared" si="68"/>
        <v>0.440052039662767</v>
      </c>
    </row>
    <row r="869" spans="1:7">
      <c r="A869" s="1">
        <v>39797</v>
      </c>
      <c r="B869">
        <v>1.351</v>
      </c>
      <c r="C869">
        <f t="shared" si="65"/>
        <v>1.26631114846298</v>
      </c>
      <c r="D869">
        <f t="shared" si="66"/>
        <v>1.10926361815109</v>
      </c>
      <c r="E869">
        <f t="shared" si="67"/>
        <v>0.912116513179048</v>
      </c>
      <c r="F869">
        <f t="shared" si="69"/>
        <v>0.774644785628409</v>
      </c>
      <c r="G869">
        <f t="shared" si="68"/>
        <v>0.833029852687033</v>
      </c>
    </row>
    <row r="870" spans="1:7">
      <c r="A870" s="1">
        <v>39798</v>
      </c>
      <c r="B870">
        <v>1.369</v>
      </c>
      <c r="C870">
        <f t="shared" si="65"/>
        <v>1.323548732825</v>
      </c>
      <c r="D870">
        <f t="shared" si="66"/>
        <v>1.15869164880815</v>
      </c>
      <c r="E870">
        <f t="shared" si="67"/>
        <v>0.938566718624386</v>
      </c>
      <c r="F870">
        <f t="shared" si="69"/>
        <v>0.829576469939116</v>
      </c>
      <c r="G870">
        <f t="shared" si="68"/>
        <v>0.901520814578986</v>
      </c>
    </row>
    <row r="871" spans="1:7">
      <c r="A871" s="1">
        <v>39799</v>
      </c>
      <c r="B871">
        <v>1.4059</v>
      </c>
      <c r="C871">
        <f t="shared" si="65"/>
        <v>2.65971207974128</v>
      </c>
      <c r="D871">
        <f t="shared" si="66"/>
        <v>1.2180006087436</v>
      </c>
      <c r="E871">
        <f t="shared" si="67"/>
        <v>0.970841777915056</v>
      </c>
      <c r="F871">
        <f t="shared" si="69"/>
        <v>3.00257282697632</v>
      </c>
      <c r="G871">
        <f t="shared" si="68"/>
        <v>3.62846942689555</v>
      </c>
    </row>
    <row r="872" spans="1:7">
      <c r="A872" s="1">
        <v>39800</v>
      </c>
      <c r="B872">
        <v>1.4616</v>
      </c>
      <c r="C872">
        <f t="shared" si="65"/>
        <v>3.88540589779353</v>
      </c>
      <c r="D872">
        <f t="shared" si="66"/>
        <v>1.8036073825814</v>
      </c>
      <c r="E872">
        <f t="shared" si="67"/>
        <v>1.26729468859624</v>
      </c>
      <c r="F872">
        <f t="shared" si="69"/>
        <v>4.4799457215099</v>
      </c>
      <c r="G872">
        <f t="shared" si="68"/>
        <v>6.07458610441289</v>
      </c>
    </row>
    <row r="873" spans="1:7">
      <c r="A873" s="1">
        <v>39801</v>
      </c>
      <c r="B873">
        <v>1.394</v>
      </c>
      <c r="C873">
        <f t="shared" si="65"/>
        <v>-4.73544137433279</v>
      </c>
      <c r="D873">
        <f t="shared" si="66"/>
        <v>3.13288454338414</v>
      </c>
      <c r="E873">
        <f t="shared" si="67"/>
        <v>1.9470759568109</v>
      </c>
      <c r="F873">
        <f t="shared" si="69"/>
        <v>4.14985218658131</v>
      </c>
      <c r="G873">
        <f t="shared" si="68"/>
        <v>6.09164670530194</v>
      </c>
    </row>
    <row r="874" spans="1:7">
      <c r="A874" s="1">
        <v>39804</v>
      </c>
      <c r="B874">
        <v>1.397</v>
      </c>
      <c r="C874">
        <f t="shared" si="65"/>
        <v>0.214976793649266</v>
      </c>
      <c r="D874">
        <f t="shared" si="66"/>
        <v>5.06203659002</v>
      </c>
      <c r="E874">
        <f t="shared" si="67"/>
        <v>2.95247164988938</v>
      </c>
      <c r="F874">
        <f t="shared" si="69"/>
        <v>0.81544930969032</v>
      </c>
      <c r="G874">
        <f t="shared" si="68"/>
        <v>0.549147830620069</v>
      </c>
    </row>
    <row r="875" spans="1:7">
      <c r="A875" s="1">
        <v>39805</v>
      </c>
      <c r="B875">
        <v>1.3978</v>
      </c>
      <c r="C875">
        <f t="shared" si="65"/>
        <v>0.0572491786066826</v>
      </c>
      <c r="D875">
        <f t="shared" si="66"/>
        <v>4.56045443319877</v>
      </c>
      <c r="E875">
        <f t="shared" si="67"/>
        <v>2.77863410198641</v>
      </c>
      <c r="F875">
        <f t="shared" si="69"/>
        <v>0.759070473212671</v>
      </c>
      <c r="G875">
        <f t="shared" si="68"/>
        <v>0.511569500880948</v>
      </c>
    </row>
    <row r="876" spans="1:7">
      <c r="A876" s="1">
        <v>39806</v>
      </c>
      <c r="B876">
        <v>1.4005</v>
      </c>
      <c r="C876">
        <f t="shared" si="65"/>
        <v>0.192974365713474</v>
      </c>
      <c r="D876">
        <f t="shared" si="66"/>
        <v>4.10473673672401</v>
      </c>
      <c r="E876">
        <f t="shared" si="67"/>
        <v>2.61307992928978</v>
      </c>
      <c r="F876">
        <f t="shared" si="69"/>
        <v>0.710606918040341</v>
      </c>
      <c r="G876">
        <f t="shared" si="68"/>
        <v>0.487390307431954</v>
      </c>
    </row>
    <row r="877" spans="1:7">
      <c r="A877" s="1">
        <v>39811</v>
      </c>
      <c r="B877">
        <v>1.427</v>
      </c>
      <c r="C877">
        <f t="shared" si="65"/>
        <v>1.87450227766733</v>
      </c>
      <c r="D877">
        <f t="shared" si="66"/>
        <v>3.69798697363386</v>
      </c>
      <c r="E877">
        <f t="shared" si="67"/>
        <v>2.45915708882352</v>
      </c>
      <c r="F877">
        <f t="shared" si="69"/>
        <v>1.12898505242121</v>
      </c>
      <c r="G877">
        <f t="shared" si="68"/>
        <v>1.16433273275976</v>
      </c>
    </row>
    <row r="878" spans="1:7">
      <c r="A878" s="1">
        <v>39812</v>
      </c>
      <c r="B878">
        <v>1.4098</v>
      </c>
      <c r="C878">
        <f t="shared" si="65"/>
        <v>-1.21264881370613</v>
      </c>
      <c r="D878">
        <f t="shared" si="66"/>
        <v>3.67956415516847</v>
      </c>
      <c r="E878">
        <f t="shared" si="67"/>
        <v>2.48829560294311</v>
      </c>
      <c r="F878">
        <f t="shared" si="69"/>
        <v>0.851219345883637</v>
      </c>
      <c r="G878">
        <f t="shared" si="68"/>
        <v>0.751285816782389</v>
      </c>
    </row>
    <row r="879" spans="1:7">
      <c r="A879" s="1">
        <v>39813</v>
      </c>
      <c r="B879">
        <v>1.3917</v>
      </c>
      <c r="C879">
        <f t="shared" si="65"/>
        <v>-1.29218289139675</v>
      </c>
      <c r="D879">
        <f t="shared" si="66"/>
        <v>3.45865945418991</v>
      </c>
      <c r="E879">
        <f t="shared" si="67"/>
        <v>2.41352372403566</v>
      </c>
      <c r="F879">
        <f t="shared" si="69"/>
        <v>0.861825478696064</v>
      </c>
      <c r="G879">
        <f t="shared" si="68"/>
        <v>0.786456521900289</v>
      </c>
    </row>
    <row r="880" spans="1:7">
      <c r="A880" s="1">
        <v>39815</v>
      </c>
      <c r="B880">
        <v>1.3866</v>
      </c>
      <c r="C880">
        <f t="shared" si="65"/>
        <v>-0.367131391741755</v>
      </c>
      <c r="D880">
        <f t="shared" si="66"/>
        <v>3.27976717125277</v>
      </c>
      <c r="E880">
        <f t="shared" si="67"/>
        <v>2.35319913183445</v>
      </c>
      <c r="F880">
        <f t="shared" si="69"/>
        <v>0.61443424018151</v>
      </c>
      <c r="G880">
        <f t="shared" si="68"/>
        <v>0.456526637836759</v>
      </c>
    </row>
    <row r="881" spans="1:7">
      <c r="A881" s="1">
        <v>39818</v>
      </c>
      <c r="B881">
        <v>1.3582</v>
      </c>
      <c r="C881">
        <f t="shared" si="65"/>
        <v>-2.06944138286991</v>
      </c>
      <c r="D881">
        <f t="shared" si="66"/>
        <v>2.96526900000772</v>
      </c>
      <c r="E881">
        <f t="shared" si="67"/>
        <v>2.21974645686449</v>
      </c>
      <c r="F881">
        <f t="shared" si="69"/>
        <v>1.26560851991308</v>
      </c>
      <c r="G881">
        <f t="shared" si="68"/>
        <v>1.36335342762872</v>
      </c>
    </row>
    <row r="882" spans="1:7">
      <c r="A882" s="1">
        <v>39819</v>
      </c>
      <c r="B882">
        <v>1.3332</v>
      </c>
      <c r="C882">
        <f t="shared" si="65"/>
        <v>-1.85782262461065</v>
      </c>
      <c r="D882">
        <f t="shared" si="66"/>
        <v>3.0970008637204</v>
      </c>
      <c r="E882">
        <f t="shared" si="67"/>
        <v>2.30169105130935</v>
      </c>
      <c r="F882">
        <f t="shared" si="69"/>
        <v>1.12245053229206</v>
      </c>
      <c r="G882">
        <f t="shared" si="68"/>
        <v>1.16659793439588</v>
      </c>
    </row>
    <row r="883" spans="1:7">
      <c r="A883" s="1">
        <v>39820</v>
      </c>
      <c r="B883">
        <v>1.3595</v>
      </c>
      <c r="C883">
        <f t="shared" si="65"/>
        <v>1.95349176389408</v>
      </c>
      <c r="D883">
        <f t="shared" si="66"/>
        <v>3.13245126779988</v>
      </c>
      <c r="E883">
        <f t="shared" si="67"/>
        <v>2.33716483345655</v>
      </c>
      <c r="F883">
        <f t="shared" si="69"/>
        <v>1.18003632757436</v>
      </c>
      <c r="G883">
        <f t="shared" si="68"/>
        <v>1.24087086103914</v>
      </c>
    </row>
    <row r="884" spans="1:7">
      <c r="A884" s="1">
        <v>39821</v>
      </c>
      <c r="B884">
        <v>1.3617</v>
      </c>
      <c r="C884">
        <f t="shared" si="65"/>
        <v>0.161693405800422</v>
      </c>
      <c r="D884">
        <f t="shared" si="66"/>
        <v>3.20081914818009</v>
      </c>
      <c r="E884">
        <f t="shared" si="67"/>
        <v>2.38874144702925</v>
      </c>
      <c r="F884">
        <f t="shared" si="69"/>
        <v>0.585787453326468</v>
      </c>
      <c r="G884">
        <f t="shared" si="68"/>
        <v>0.440855814326044</v>
      </c>
    </row>
    <row r="885" spans="1:7">
      <c r="A885" s="1">
        <v>39822</v>
      </c>
      <c r="B885">
        <v>1.3684</v>
      </c>
      <c r="C885">
        <f t="shared" si="65"/>
        <v>0.490825497292007</v>
      </c>
      <c r="D885">
        <f t="shared" si="66"/>
        <v>2.88335170911001</v>
      </c>
      <c r="E885">
        <f t="shared" si="67"/>
        <v>2.24772419808147</v>
      </c>
      <c r="F885">
        <f t="shared" si="69"/>
        <v>0.571252679579116</v>
      </c>
      <c r="G885">
        <f t="shared" si="68"/>
        <v>0.458548804589967</v>
      </c>
    </row>
    <row r="886" spans="1:7">
      <c r="A886" s="1">
        <v>39825</v>
      </c>
      <c r="B886">
        <v>1.3394</v>
      </c>
      <c r="C886">
        <f t="shared" si="65"/>
        <v>-2.14204216274999</v>
      </c>
      <c r="D886">
        <f t="shared" si="66"/>
        <v>2.61910750507821</v>
      </c>
      <c r="E886">
        <f t="shared" si="67"/>
        <v>2.12590622963618</v>
      </c>
      <c r="F886">
        <f t="shared" si="69"/>
        <v>1.35735347913344</v>
      </c>
      <c r="G886">
        <f t="shared" si="68"/>
        <v>1.45624937119142</v>
      </c>
    </row>
    <row r="887" spans="1:7">
      <c r="A887" s="1">
        <v>39826</v>
      </c>
      <c r="B887">
        <v>1.3262</v>
      </c>
      <c r="C887">
        <f t="shared" si="65"/>
        <v>-0.990404254118246</v>
      </c>
      <c r="D887">
        <f t="shared" si="66"/>
        <v>2.81603121727025</v>
      </c>
      <c r="E887">
        <f t="shared" si="67"/>
        <v>2.22876908720794</v>
      </c>
      <c r="F887">
        <f t="shared" si="69"/>
        <v>0.691827918339106</v>
      </c>
      <c r="G887">
        <f t="shared" si="68"/>
        <v>0.62077905940072</v>
      </c>
    </row>
    <row r="888" spans="1:7">
      <c r="A888" s="1">
        <v>39827</v>
      </c>
      <c r="B888">
        <v>1.3173</v>
      </c>
      <c r="C888">
        <f t="shared" si="65"/>
        <v>-0.673352269898591</v>
      </c>
      <c r="D888">
        <f t="shared" si="66"/>
        <v>2.63251815420078</v>
      </c>
      <c r="E888">
        <f t="shared" si="67"/>
        <v>2.14508797130424</v>
      </c>
      <c r="F888">
        <f t="shared" si="69"/>
        <v>0.570086319034461</v>
      </c>
      <c r="G888">
        <f t="shared" si="68"/>
        <v>0.487274357669234</v>
      </c>
    </row>
    <row r="889" spans="1:7">
      <c r="A889" s="1">
        <v>39828</v>
      </c>
      <c r="B889">
        <v>1.3085</v>
      </c>
      <c r="C889">
        <f t="shared" si="65"/>
        <v>-0.670274426558083</v>
      </c>
      <c r="D889">
        <f t="shared" si="66"/>
        <v>2.41460666671846</v>
      </c>
      <c r="E889">
        <f t="shared" si="67"/>
        <v>2.04005285699486</v>
      </c>
      <c r="F889">
        <f t="shared" si="69"/>
        <v>0.533799462633833</v>
      </c>
      <c r="G889">
        <f t="shared" si="68"/>
        <v>0.466599664430414</v>
      </c>
    </row>
    <row r="890" spans="1:7">
      <c r="A890" s="1">
        <v>39829</v>
      </c>
      <c r="B890">
        <v>1.327</v>
      </c>
      <c r="C890">
        <f t="shared" si="65"/>
        <v>1.40393123620069</v>
      </c>
      <c r="D890">
        <f t="shared" si="66"/>
        <v>2.21807278073639</v>
      </c>
      <c r="E890">
        <f t="shared" si="67"/>
        <v>1.94111307592006</v>
      </c>
      <c r="F890">
        <f t="shared" si="69"/>
        <v>0.842629143998461</v>
      </c>
      <c r="G890">
        <f t="shared" si="68"/>
        <v>0.839335080827209</v>
      </c>
    </row>
    <row r="891" spans="1:7">
      <c r="A891" s="1">
        <v>39832</v>
      </c>
      <c r="B891">
        <v>1.3182</v>
      </c>
      <c r="C891">
        <f t="shared" si="65"/>
        <v>-0.665358571358793</v>
      </c>
      <c r="D891">
        <f t="shared" si="66"/>
        <v>2.19336779426075</v>
      </c>
      <c r="E891">
        <f t="shared" si="67"/>
        <v>1.92419743716386</v>
      </c>
      <c r="F891">
        <f t="shared" si="69"/>
        <v>0.493637413819097</v>
      </c>
      <c r="G891">
        <f t="shared" si="68"/>
        <v>0.44228998250147</v>
      </c>
    </row>
    <row r="892" spans="1:7">
      <c r="A892" s="1">
        <v>39833</v>
      </c>
      <c r="B892">
        <v>1.293</v>
      </c>
      <c r="C892">
        <f t="shared" si="65"/>
        <v>-1.93020698467621</v>
      </c>
      <c r="D892">
        <f t="shared" si="66"/>
        <v>2.01830121768274</v>
      </c>
      <c r="E892">
        <f t="shared" si="67"/>
        <v>1.83188069235805</v>
      </c>
      <c r="F892">
        <f t="shared" si="69"/>
        <v>1.2741070198723</v>
      </c>
      <c r="G892">
        <f t="shared" si="68"/>
        <v>1.31957704288413</v>
      </c>
    </row>
    <row r="893" spans="1:7">
      <c r="A893" s="1">
        <v>39834</v>
      </c>
      <c r="B893">
        <v>1.291</v>
      </c>
      <c r="C893">
        <f t="shared" si="65"/>
        <v>-0.154798792521499</v>
      </c>
      <c r="D893">
        <f t="shared" si="66"/>
        <v>2.18904099628375</v>
      </c>
      <c r="E893">
        <f t="shared" si="67"/>
        <v>1.90925280100121</v>
      </c>
      <c r="F893">
        <f t="shared" si="69"/>
        <v>0.39720509846497</v>
      </c>
      <c r="G893">
        <f t="shared" si="68"/>
        <v>0.329631385146338</v>
      </c>
    </row>
    <row r="894" spans="1:7">
      <c r="A894" s="1">
        <v>39835</v>
      </c>
      <c r="B894">
        <v>1.2984</v>
      </c>
      <c r="C894">
        <f t="shared" si="65"/>
        <v>0.571562535373908</v>
      </c>
      <c r="D894">
        <f t="shared" si="66"/>
        <v>1.97253316327198</v>
      </c>
      <c r="E894">
        <f t="shared" si="67"/>
        <v>1.79689576624944</v>
      </c>
      <c r="F894">
        <f t="shared" si="69"/>
        <v>0.42246746543837</v>
      </c>
      <c r="G894">
        <f t="shared" si="68"/>
        <v>0.383932549653081</v>
      </c>
    </row>
    <row r="895" spans="1:7">
      <c r="A895" s="1">
        <v>39836</v>
      </c>
      <c r="B895">
        <v>1.2795</v>
      </c>
      <c r="C895">
        <f t="shared" si="65"/>
        <v>-1.46633606005379</v>
      </c>
      <c r="D895">
        <f t="shared" si="66"/>
        <v>1.80794822012909</v>
      </c>
      <c r="E895">
        <f t="shared" si="67"/>
        <v>1.70641620686663</v>
      </c>
      <c r="F895">
        <f t="shared" si="69"/>
        <v>0.890732102426009</v>
      </c>
      <c r="G895">
        <f t="shared" si="68"/>
        <v>0.897214400548543</v>
      </c>
    </row>
    <row r="896" spans="1:7">
      <c r="A896" s="1">
        <v>39839</v>
      </c>
      <c r="B896">
        <v>1.299</v>
      </c>
      <c r="C896">
        <f t="shared" si="65"/>
        <v>1.5125361070756</v>
      </c>
      <c r="D896">
        <f t="shared" si="66"/>
        <v>1.84216754221759</v>
      </c>
      <c r="E896">
        <f t="shared" si="67"/>
        <v>1.71253830650534</v>
      </c>
      <c r="F896">
        <f t="shared" si="69"/>
        <v>0.926415366626308</v>
      </c>
      <c r="G896">
        <f t="shared" si="68"/>
        <v>0.936934111401069</v>
      </c>
    </row>
    <row r="897" spans="1:7">
      <c r="A897" s="1">
        <v>39840</v>
      </c>
      <c r="B897">
        <v>1.3174</v>
      </c>
      <c r="C897">
        <f t="shared" si="65"/>
        <v>1.40653595359929</v>
      </c>
      <c r="D897">
        <f t="shared" si="66"/>
        <v>1.88672733551657</v>
      </c>
      <c r="E897">
        <f t="shared" si="67"/>
        <v>1.72517428187539</v>
      </c>
      <c r="F897">
        <f t="shared" si="69"/>
        <v>0.841700971867887</v>
      </c>
      <c r="G897">
        <f t="shared" si="68"/>
        <v>0.846038975711476</v>
      </c>
    </row>
    <row r="898" spans="1:7">
      <c r="A898" s="1">
        <v>39841</v>
      </c>
      <c r="B898">
        <v>1.326</v>
      </c>
      <c r="C898">
        <f t="shared" si="65"/>
        <v>0.650679453921533</v>
      </c>
      <c r="D898">
        <f t="shared" si="66"/>
        <v>1.89588894084166</v>
      </c>
      <c r="E898">
        <f t="shared" si="67"/>
        <v>1.72158099440124</v>
      </c>
      <c r="F898">
        <f t="shared" si="69"/>
        <v>0.431502287020449</v>
      </c>
      <c r="G898">
        <f t="shared" si="68"/>
        <v>0.394585171668137</v>
      </c>
    </row>
    <row r="899" spans="1:7">
      <c r="A899" s="1">
        <v>39842</v>
      </c>
      <c r="B899">
        <v>1.3111</v>
      </c>
      <c r="C899">
        <f t="shared" si="65"/>
        <v>-1.13004122404518</v>
      </c>
      <c r="D899">
        <f t="shared" si="66"/>
        <v>1.74863842193306</v>
      </c>
      <c r="E899">
        <f t="shared" si="67"/>
        <v>1.64045532232494</v>
      </c>
      <c r="F899">
        <f t="shared" si="69"/>
        <v>0.644558005767861</v>
      </c>
      <c r="G899">
        <f t="shared" si="68"/>
        <v>0.636706043740657</v>
      </c>
    </row>
    <row r="900" spans="1:7">
      <c r="A900" s="1">
        <v>39843</v>
      </c>
      <c r="B900">
        <v>1.2816</v>
      </c>
      <c r="C900">
        <f t="shared" ref="C900:C963" si="70">100*LN(B900/B899)</f>
        <v>-2.27571821912613</v>
      </c>
      <c r="D900">
        <f t="shared" si="66"/>
        <v>1.7014738965439</v>
      </c>
      <c r="E900">
        <f t="shared" si="67"/>
        <v>1.60687766138752</v>
      </c>
      <c r="F900">
        <f t="shared" si="69"/>
        <v>1.7876319109162</v>
      </c>
      <c r="G900">
        <f t="shared" si="68"/>
        <v>1.84862367261269</v>
      </c>
    </row>
    <row r="901" spans="1:7">
      <c r="A901" s="1">
        <v>39846</v>
      </c>
      <c r="B901">
        <v>1.276</v>
      </c>
      <c r="C901">
        <f t="shared" si="70"/>
        <v>-0.43791124093596</v>
      </c>
      <c r="D901">
        <f t="shared" ref="D901:D964" si="71">$J$1*D900+(1-$J$1)*C900^2</f>
        <v>2.04921584817577</v>
      </c>
      <c r="E901">
        <f t="shared" ref="E901:E964" si="72">$K$1+$K$2*C900^2+$K$3*E900</f>
        <v>1.7704096723474</v>
      </c>
      <c r="F901">
        <f t="shared" si="69"/>
        <v>0.40551875859283</v>
      </c>
      <c r="G901">
        <f t="shared" ref="G901:G964" si="73">0.5*(LN(E901)+C901^2/E901)</f>
        <v>0.339764209795754</v>
      </c>
    </row>
    <row r="902" spans="1:7">
      <c r="A902" s="1">
        <v>39847</v>
      </c>
      <c r="B902">
        <v>1.2849</v>
      </c>
      <c r="C902">
        <f t="shared" si="70"/>
        <v>0.695070938469981</v>
      </c>
      <c r="D902">
        <f t="shared" si="71"/>
        <v>1.863470888852</v>
      </c>
      <c r="E902">
        <f t="shared" si="72"/>
        <v>1.67477340475346</v>
      </c>
      <c r="F902">
        <f t="shared" si="69"/>
        <v>0.440850448433488</v>
      </c>
      <c r="G902">
        <f t="shared" si="73"/>
        <v>0.402074452816082</v>
      </c>
    </row>
    <row r="903" spans="1:7">
      <c r="A903" s="1">
        <v>39848</v>
      </c>
      <c r="B903">
        <v>1.2818</v>
      </c>
      <c r="C903">
        <f t="shared" si="70"/>
        <v>-0.241555421930842</v>
      </c>
      <c r="D903">
        <f t="shared" si="71"/>
        <v>1.72543616091736</v>
      </c>
      <c r="E903">
        <f t="shared" si="72"/>
        <v>1.59944318094353</v>
      </c>
      <c r="F903">
        <f t="shared" ref="F903:F966" si="74">0.5*(LN(D903)+C903^2/D903)</f>
        <v>0.289648417418319</v>
      </c>
      <c r="G903">
        <f t="shared" si="73"/>
        <v>0.25306819559762</v>
      </c>
    </row>
    <row r="904" spans="1:7">
      <c r="A904" s="1">
        <v>39849</v>
      </c>
      <c r="B904">
        <v>1.2829</v>
      </c>
      <c r="C904">
        <f t="shared" si="70"/>
        <v>0.085780018516808</v>
      </c>
      <c r="D904">
        <f t="shared" si="71"/>
        <v>1.55872744701204</v>
      </c>
      <c r="E904">
        <f t="shared" si="72"/>
        <v>1.50739404118013</v>
      </c>
      <c r="F904">
        <f t="shared" si="74"/>
        <v>0.224295201192248</v>
      </c>
      <c r="G904">
        <f t="shared" si="73"/>
        <v>0.20763188575871</v>
      </c>
    </row>
    <row r="905" spans="1:7">
      <c r="A905" s="1">
        <v>39850</v>
      </c>
      <c r="B905">
        <v>1.2796</v>
      </c>
      <c r="C905">
        <f t="shared" si="70"/>
        <v>-0.257561117993144</v>
      </c>
      <c r="D905">
        <f t="shared" si="71"/>
        <v>1.40359052346851</v>
      </c>
      <c r="E905">
        <f t="shared" si="72"/>
        <v>1.41831830928816</v>
      </c>
      <c r="F905">
        <f t="shared" si="74"/>
        <v>0.193148246208774</v>
      </c>
      <c r="G905">
        <f t="shared" si="73"/>
        <v>0.198121991584599</v>
      </c>
    </row>
    <row r="906" spans="1:7">
      <c r="A906" s="1">
        <v>39853</v>
      </c>
      <c r="B906">
        <v>1.3008</v>
      </c>
      <c r="C906">
        <f t="shared" si="70"/>
        <v>1.64319307181831</v>
      </c>
      <c r="D906">
        <f t="shared" si="71"/>
        <v>1.26986524407185</v>
      </c>
      <c r="E906">
        <f t="shared" si="72"/>
        <v>1.33753609720596</v>
      </c>
      <c r="F906">
        <f t="shared" si="74"/>
        <v>1.18259318898896</v>
      </c>
      <c r="G906">
        <f t="shared" si="73"/>
        <v>1.15476435169902</v>
      </c>
    </row>
    <row r="907" spans="1:7">
      <c r="A907" s="1">
        <v>39854</v>
      </c>
      <c r="B907">
        <v>1.2967</v>
      </c>
      <c r="C907">
        <f t="shared" si="70"/>
        <v>-0.315688423870754</v>
      </c>
      <c r="D907">
        <f t="shared" si="71"/>
        <v>1.41288706679183</v>
      </c>
      <c r="E907">
        <f t="shared" si="72"/>
        <v>1.39328810493719</v>
      </c>
      <c r="F907">
        <f t="shared" si="74"/>
        <v>0.208085509771799</v>
      </c>
      <c r="G907">
        <f t="shared" si="73"/>
        <v>0.20159727328885</v>
      </c>
    </row>
    <row r="908" spans="1:7">
      <c r="A908" s="1">
        <v>39855</v>
      </c>
      <c r="B908">
        <v>1.2938</v>
      </c>
      <c r="C908">
        <f t="shared" si="70"/>
        <v>-0.223895094495341</v>
      </c>
      <c r="D908">
        <f t="shared" si="71"/>
        <v>1.28156427820925</v>
      </c>
      <c r="E908">
        <f t="shared" si="72"/>
        <v>1.31567377768926</v>
      </c>
      <c r="F908">
        <f t="shared" si="74"/>
        <v>0.143598456533408</v>
      </c>
      <c r="G908">
        <f t="shared" si="73"/>
        <v>0.15622515661684</v>
      </c>
    </row>
    <row r="909" spans="1:7">
      <c r="A909" s="1">
        <v>39856</v>
      </c>
      <c r="B909">
        <v>1.2833</v>
      </c>
      <c r="C909">
        <f t="shared" si="70"/>
        <v>-0.81487393594697</v>
      </c>
      <c r="D909">
        <f t="shared" si="71"/>
        <v>1.15842075172223</v>
      </c>
      <c r="E909">
        <f t="shared" si="72"/>
        <v>1.24023980169486</v>
      </c>
      <c r="F909">
        <f t="shared" si="74"/>
        <v>0.360134334336727</v>
      </c>
      <c r="G909">
        <f t="shared" si="73"/>
        <v>0.375350416061719</v>
      </c>
    </row>
    <row r="910" spans="1:7">
      <c r="A910" s="1">
        <v>39857</v>
      </c>
      <c r="B910">
        <v>1.2823</v>
      </c>
      <c r="C910">
        <f t="shared" si="70"/>
        <v>-0.0779544785345272</v>
      </c>
      <c r="D910">
        <f t="shared" si="71"/>
        <v>1.10898062969858</v>
      </c>
      <c r="E910">
        <f t="shared" si="72"/>
        <v>1.20002639016745</v>
      </c>
      <c r="F910">
        <f t="shared" si="74"/>
        <v>0.0544604797011507</v>
      </c>
      <c r="G910">
        <f t="shared" si="73"/>
        <v>0.0937037604643841</v>
      </c>
    </row>
    <row r="911" spans="1:7">
      <c r="A911" s="1">
        <v>39860</v>
      </c>
      <c r="B911">
        <v>1.2765</v>
      </c>
      <c r="C911">
        <f t="shared" si="70"/>
        <v>-0.453338278353163</v>
      </c>
      <c r="D911">
        <f t="shared" si="71"/>
        <v>0.998690256801081</v>
      </c>
      <c r="E911">
        <f t="shared" si="72"/>
        <v>1.12932865179358</v>
      </c>
      <c r="F911">
        <f t="shared" si="74"/>
        <v>0.102237259309868</v>
      </c>
      <c r="G911">
        <f t="shared" si="73"/>
        <v>0.151801833650081</v>
      </c>
    </row>
    <row r="912" spans="1:7">
      <c r="A912" s="1">
        <v>39861</v>
      </c>
      <c r="B912">
        <v>1.2634</v>
      </c>
      <c r="C912">
        <f t="shared" si="70"/>
        <v>-1.03154582169385</v>
      </c>
      <c r="D912">
        <f t="shared" si="71"/>
        <v>0.919372790582994</v>
      </c>
      <c r="E912">
        <f t="shared" si="72"/>
        <v>1.07284471241698</v>
      </c>
      <c r="F912">
        <f t="shared" si="74"/>
        <v>0.536670768538894</v>
      </c>
      <c r="G912">
        <f t="shared" si="73"/>
        <v>0.531075225934409</v>
      </c>
    </row>
    <row r="913" spans="1:7">
      <c r="A913" s="1">
        <v>39862</v>
      </c>
      <c r="B913">
        <v>1.2596</v>
      </c>
      <c r="C913">
        <f t="shared" si="70"/>
        <v>-0.30122892377304</v>
      </c>
      <c r="D913">
        <f t="shared" si="71"/>
        <v>0.933844189750098</v>
      </c>
      <c r="E913">
        <f t="shared" si="72"/>
        <v>1.06267836878466</v>
      </c>
      <c r="F913">
        <f t="shared" si="74"/>
        <v>0.0143606764589336</v>
      </c>
      <c r="G913">
        <f t="shared" si="73"/>
        <v>0.0730897170095711</v>
      </c>
    </row>
    <row r="914" spans="1:7">
      <c r="A914" s="1">
        <v>39863</v>
      </c>
      <c r="B914">
        <v>1.2705</v>
      </c>
      <c r="C914">
        <f t="shared" si="70"/>
        <v>0.861631353334922</v>
      </c>
      <c r="D914">
        <f t="shared" si="71"/>
        <v>0.849533657226834</v>
      </c>
      <c r="E914">
        <f t="shared" si="72"/>
        <v>1.00445460988345</v>
      </c>
      <c r="F914">
        <f t="shared" si="74"/>
        <v>0.355416803410263</v>
      </c>
      <c r="G914">
        <f t="shared" si="73"/>
        <v>0.371780416287138</v>
      </c>
    </row>
    <row r="915" spans="1:7">
      <c r="A915" s="1">
        <v>39864</v>
      </c>
      <c r="B915">
        <v>1.2591</v>
      </c>
      <c r="C915">
        <f t="shared" si="70"/>
        <v>-0.901334375256377</v>
      </c>
      <c r="D915">
        <f t="shared" si="71"/>
        <v>0.838821150409128</v>
      </c>
      <c r="E915">
        <f t="shared" si="72"/>
        <v>0.982307762742935</v>
      </c>
      <c r="F915">
        <f t="shared" si="74"/>
        <v>0.396374319425886</v>
      </c>
      <c r="G915">
        <f t="shared" si="73"/>
        <v>0.404592576675971</v>
      </c>
    </row>
    <row r="916" spans="1:7">
      <c r="A916" s="1">
        <v>39867</v>
      </c>
      <c r="B916">
        <v>1.2798</v>
      </c>
      <c r="C916">
        <f t="shared" si="70"/>
        <v>1.63066356977049</v>
      </c>
      <c r="D916">
        <f t="shared" si="71"/>
        <v>0.836179400970096</v>
      </c>
      <c r="E916">
        <f t="shared" si="72"/>
        <v>0.964989479779299</v>
      </c>
      <c r="F916">
        <f t="shared" si="74"/>
        <v>1.50055183546458</v>
      </c>
      <c r="G916">
        <f t="shared" si="73"/>
        <v>1.35994918130802</v>
      </c>
    </row>
    <row r="917" spans="1:7">
      <c r="A917" s="1">
        <v>39868</v>
      </c>
      <c r="B917">
        <v>1.2763</v>
      </c>
      <c r="C917">
        <f t="shared" si="70"/>
        <v>-0.273854871671482</v>
      </c>
      <c r="D917">
        <f t="shared" si="71"/>
        <v>1.01846782865075</v>
      </c>
      <c r="E917">
        <f t="shared" si="72"/>
        <v>1.04104329488137</v>
      </c>
      <c r="F917">
        <f t="shared" si="74"/>
        <v>0.0459679760689558</v>
      </c>
      <c r="G917">
        <f t="shared" si="73"/>
        <v>0.0561315604106483</v>
      </c>
    </row>
    <row r="918" spans="1:7">
      <c r="A918" s="1">
        <v>39869</v>
      </c>
      <c r="B918">
        <v>1.2795</v>
      </c>
      <c r="C918">
        <f t="shared" si="70"/>
        <v>0.250410961119851</v>
      </c>
      <c r="D918">
        <f t="shared" si="71"/>
        <v>0.924120694859495</v>
      </c>
      <c r="E918">
        <f t="shared" si="72"/>
        <v>0.983330521725401</v>
      </c>
      <c r="F918">
        <f t="shared" si="74"/>
        <v>-0.00552910001766935</v>
      </c>
      <c r="G918">
        <f t="shared" si="73"/>
        <v>0.0234793309076202</v>
      </c>
    </row>
    <row r="919" spans="1:7">
      <c r="A919" s="1">
        <v>39870</v>
      </c>
      <c r="B919">
        <v>1.2782</v>
      </c>
      <c r="C919">
        <f t="shared" si="70"/>
        <v>-0.101653838366216</v>
      </c>
      <c r="D919">
        <f t="shared" si="71"/>
        <v>0.837979190318442</v>
      </c>
      <c r="E919">
        <f t="shared" si="72"/>
        <v>0.928465972894325</v>
      </c>
      <c r="F919">
        <f t="shared" si="74"/>
        <v>-0.0822152780756236</v>
      </c>
      <c r="G919">
        <f t="shared" si="73"/>
        <v>-0.0315459472986595</v>
      </c>
    </row>
    <row r="920" spans="1:7">
      <c r="A920" s="1">
        <v>39871</v>
      </c>
      <c r="B920">
        <v>1.2644</v>
      </c>
      <c r="C920">
        <f t="shared" si="70"/>
        <v>-1.08551368747188</v>
      </c>
      <c r="D920">
        <f t="shared" si="71"/>
        <v>0.755214621572057</v>
      </c>
      <c r="E920">
        <f t="shared" si="72"/>
        <v>0.874274689663395</v>
      </c>
      <c r="F920">
        <f t="shared" si="74"/>
        <v>0.639759174740593</v>
      </c>
      <c r="G920">
        <f t="shared" si="73"/>
        <v>0.606715401775466</v>
      </c>
    </row>
    <row r="921" spans="1:7">
      <c r="A921" s="1">
        <v>39874</v>
      </c>
      <c r="B921">
        <v>1.2596</v>
      </c>
      <c r="C921">
        <f t="shared" si="70"/>
        <v>-0.380349111459297</v>
      </c>
      <c r="D921">
        <f t="shared" si="71"/>
        <v>0.79752715598373</v>
      </c>
      <c r="E921">
        <f t="shared" si="72"/>
        <v>0.881735206568031</v>
      </c>
      <c r="F921">
        <f t="shared" si="74"/>
        <v>-0.0224234455362254</v>
      </c>
      <c r="G921">
        <f t="shared" si="73"/>
        <v>0.0191027750221874</v>
      </c>
    </row>
    <row r="922" spans="1:7">
      <c r="A922" s="1">
        <v>39875</v>
      </c>
      <c r="B922">
        <v>1.2615</v>
      </c>
      <c r="C922">
        <f t="shared" si="70"/>
        <v>0.150727885424285</v>
      </c>
      <c r="D922">
        <f t="shared" si="71"/>
        <v>0.732240985044145</v>
      </c>
      <c r="E922">
        <f t="shared" si="72"/>
        <v>0.837064366503343</v>
      </c>
      <c r="F922">
        <f t="shared" si="74"/>
        <v>-0.140309538316281</v>
      </c>
      <c r="G922">
        <f t="shared" si="73"/>
        <v>-0.0753565764735526</v>
      </c>
    </row>
    <row r="923" spans="1:7">
      <c r="A923" s="1">
        <v>39876</v>
      </c>
      <c r="B923">
        <v>1.2555</v>
      </c>
      <c r="C923">
        <f t="shared" si="70"/>
        <v>-0.476758948347279</v>
      </c>
      <c r="D923">
        <f t="shared" si="71"/>
        <v>0.661288776084178</v>
      </c>
      <c r="E923">
        <f t="shared" si="72"/>
        <v>0.788976449285366</v>
      </c>
      <c r="F923">
        <f t="shared" si="74"/>
        <v>-0.0349216353474662</v>
      </c>
      <c r="G923">
        <f t="shared" si="73"/>
        <v>0.0255374148318152</v>
      </c>
    </row>
    <row r="924" spans="1:7">
      <c r="A924" s="1">
        <v>39877</v>
      </c>
      <c r="B924">
        <v>1.2555</v>
      </c>
      <c r="C924">
        <f t="shared" si="70"/>
        <v>0</v>
      </c>
      <c r="D924">
        <f t="shared" si="71"/>
        <v>0.617889807958681</v>
      </c>
      <c r="E924">
        <f t="shared" si="72"/>
        <v>0.754002817069704</v>
      </c>
      <c r="F924">
        <f t="shared" si="74"/>
        <v>-0.240722570848261</v>
      </c>
      <c r="G924">
        <f t="shared" si="73"/>
        <v>-0.141179587407222</v>
      </c>
    </row>
    <row r="925" spans="1:7">
      <c r="A925" s="1">
        <v>39878</v>
      </c>
      <c r="B925">
        <v>1.2658</v>
      </c>
      <c r="C925">
        <f t="shared" si="70"/>
        <v>0.817043374356521</v>
      </c>
      <c r="D925">
        <f t="shared" si="71"/>
        <v>0.556100827162813</v>
      </c>
      <c r="E925">
        <f t="shared" si="72"/>
        <v>0.709762648045522</v>
      </c>
      <c r="F925">
        <f t="shared" si="74"/>
        <v>0.306811955200899</v>
      </c>
      <c r="G925">
        <f t="shared" si="73"/>
        <v>0.298857467255615</v>
      </c>
    </row>
    <row r="926" spans="1:7">
      <c r="A926" s="1">
        <v>39881</v>
      </c>
      <c r="B926">
        <v>1.2565</v>
      </c>
      <c r="C926">
        <f t="shared" si="70"/>
        <v>-0.737425535755821</v>
      </c>
      <c r="D926">
        <f t="shared" si="71"/>
        <v>0.56724673200452</v>
      </c>
      <c r="E926">
        <f t="shared" si="72"/>
        <v>0.701554882941785</v>
      </c>
      <c r="F926">
        <f t="shared" si="74"/>
        <v>0.195849249729392</v>
      </c>
      <c r="G926">
        <f t="shared" si="73"/>
        <v>0.210337058427475</v>
      </c>
    </row>
    <row r="927" spans="1:7">
      <c r="A927" s="1">
        <v>39882</v>
      </c>
      <c r="B927">
        <v>1.2783</v>
      </c>
      <c r="C927">
        <f t="shared" si="70"/>
        <v>1.72009921903292</v>
      </c>
      <c r="D927">
        <f t="shared" si="71"/>
        <v>0.564901700882544</v>
      </c>
      <c r="E927">
        <f t="shared" si="72"/>
        <v>0.687651411004516</v>
      </c>
      <c r="F927">
        <f t="shared" si="74"/>
        <v>2.33325900415674</v>
      </c>
      <c r="G927">
        <f t="shared" si="73"/>
        <v>1.96410145355874</v>
      </c>
    </row>
    <row r="928" spans="1:7">
      <c r="A928" s="1">
        <v>39883</v>
      </c>
      <c r="B928">
        <v>1.2786</v>
      </c>
      <c r="C928">
        <f t="shared" si="70"/>
        <v>0.0234659158650464</v>
      </c>
      <c r="D928">
        <f t="shared" si="71"/>
        <v>0.804285663126058</v>
      </c>
      <c r="E928">
        <f t="shared" si="72"/>
        <v>0.795329392510129</v>
      </c>
      <c r="F928">
        <f t="shared" si="74"/>
        <v>-0.108558063347126</v>
      </c>
      <c r="G928">
        <f t="shared" si="73"/>
        <v>-0.114153283144017</v>
      </c>
    </row>
    <row r="929" spans="1:7">
      <c r="A929" s="1">
        <v>39884</v>
      </c>
      <c r="B929">
        <v>1.2782</v>
      </c>
      <c r="C929">
        <f t="shared" si="70"/>
        <v>-0.0312891116444984</v>
      </c>
      <c r="D929">
        <f t="shared" si="71"/>
        <v>0.72391216173419</v>
      </c>
      <c r="E929">
        <f t="shared" si="72"/>
        <v>0.74863716141989</v>
      </c>
      <c r="F929">
        <f t="shared" si="74"/>
        <v>-0.160866415878282</v>
      </c>
      <c r="G929">
        <f t="shared" si="73"/>
        <v>-0.144096561280159</v>
      </c>
    </row>
    <row r="930" spans="1:7">
      <c r="A930" s="1">
        <v>39885</v>
      </c>
      <c r="B930">
        <v>1.2905</v>
      </c>
      <c r="C930">
        <f t="shared" si="70"/>
        <v>0.957690194248725</v>
      </c>
      <c r="D930">
        <f t="shared" si="71"/>
        <v>0.651618846411522</v>
      </c>
      <c r="E930">
        <f t="shared" si="72"/>
        <v>0.704767882160072</v>
      </c>
      <c r="F930">
        <f t="shared" si="74"/>
        <v>0.489615290803328</v>
      </c>
      <c r="G930">
        <f t="shared" si="73"/>
        <v>0.475746386390022</v>
      </c>
    </row>
    <row r="931" spans="1:7">
      <c r="A931" s="1">
        <v>39888</v>
      </c>
      <c r="B931">
        <v>1.3042</v>
      </c>
      <c r="C931">
        <f t="shared" si="70"/>
        <v>1.05600858004333</v>
      </c>
      <c r="D931">
        <f t="shared" si="71"/>
        <v>0.678174012586386</v>
      </c>
      <c r="E931">
        <f t="shared" si="72"/>
        <v>0.709340334638476</v>
      </c>
      <c r="F931">
        <f t="shared" si="74"/>
        <v>0.627998345280052</v>
      </c>
      <c r="G931">
        <f t="shared" si="73"/>
        <v>0.61434020412331</v>
      </c>
    </row>
    <row r="932" spans="1:7">
      <c r="A932" s="1">
        <v>39889</v>
      </c>
      <c r="B932">
        <v>1.2942</v>
      </c>
      <c r="C932">
        <f t="shared" si="70"/>
        <v>-0.769708233593619</v>
      </c>
      <c r="D932">
        <f t="shared" si="71"/>
        <v>0.721872023440261</v>
      </c>
      <c r="E932">
        <f t="shared" si="72"/>
        <v>0.723537620616424</v>
      </c>
      <c r="F932">
        <f t="shared" si="74"/>
        <v>0.247403495858469</v>
      </c>
      <c r="G932">
        <f t="shared" si="73"/>
        <v>0.247611182124621</v>
      </c>
    </row>
    <row r="933" spans="1:7">
      <c r="A933" s="1">
        <v>39890</v>
      </c>
      <c r="B933">
        <v>1.313</v>
      </c>
      <c r="C933">
        <f t="shared" si="70"/>
        <v>1.44218516796304</v>
      </c>
      <c r="D933">
        <f t="shared" si="71"/>
        <v>0.708929897582416</v>
      </c>
      <c r="E933">
        <f t="shared" si="72"/>
        <v>0.710747901622529</v>
      </c>
      <c r="F933">
        <f t="shared" si="74"/>
        <v>1.29492856043948</v>
      </c>
      <c r="G933">
        <f t="shared" si="73"/>
        <v>1.29245691861072</v>
      </c>
    </row>
    <row r="934" spans="1:7">
      <c r="A934" s="1">
        <v>39891</v>
      </c>
      <c r="B934">
        <v>1.3671</v>
      </c>
      <c r="C934">
        <f t="shared" si="70"/>
        <v>4.03771126351504</v>
      </c>
      <c r="D934">
        <f t="shared" si="71"/>
        <v>0.846026713693434</v>
      </c>
      <c r="E934">
        <f t="shared" si="72"/>
        <v>0.773097930459807</v>
      </c>
      <c r="F934">
        <f t="shared" si="74"/>
        <v>9.5515027154371</v>
      </c>
      <c r="G934">
        <f t="shared" si="73"/>
        <v>10.4153401586137</v>
      </c>
    </row>
    <row r="935" spans="1:7">
      <c r="A935" s="1">
        <v>39892</v>
      </c>
      <c r="B935">
        <v>1.3549</v>
      </c>
      <c r="C935">
        <f t="shared" si="70"/>
        <v>-0.896405708556114</v>
      </c>
      <c r="D935">
        <f t="shared" si="71"/>
        <v>2.39173526707571</v>
      </c>
      <c r="E935">
        <f t="shared" si="72"/>
        <v>1.54286766700803</v>
      </c>
      <c r="F935">
        <f t="shared" si="74"/>
        <v>0.603992883801027</v>
      </c>
      <c r="G935">
        <f t="shared" si="73"/>
        <v>0.477227143529959</v>
      </c>
    </row>
    <row r="936" spans="1:7">
      <c r="A936" s="1">
        <v>39895</v>
      </c>
      <c r="B936">
        <v>1.3558</v>
      </c>
      <c r="C936">
        <f t="shared" si="70"/>
        <v>0.0664035144479687</v>
      </c>
      <c r="D936">
        <f t="shared" si="71"/>
        <v>2.23291605980134</v>
      </c>
      <c r="E936">
        <f t="shared" si="72"/>
        <v>1.49147276670415</v>
      </c>
      <c r="F936">
        <f t="shared" si="74"/>
        <v>0.402641560256742</v>
      </c>
      <c r="G936">
        <f t="shared" si="73"/>
        <v>0.201360245188226</v>
      </c>
    </row>
    <row r="937" spans="1:7">
      <c r="A937" s="1">
        <v>39896</v>
      </c>
      <c r="B937">
        <v>1.3507</v>
      </c>
      <c r="C937">
        <f t="shared" si="70"/>
        <v>-0.376870943014668</v>
      </c>
      <c r="D937">
        <f t="shared" si="71"/>
        <v>2.01006539649431</v>
      </c>
      <c r="E937">
        <f t="shared" si="72"/>
        <v>1.40320487203845</v>
      </c>
      <c r="F937">
        <f t="shared" si="74"/>
        <v>0.384413749639253</v>
      </c>
      <c r="G937">
        <f t="shared" si="73"/>
        <v>0.219989161687553</v>
      </c>
    </row>
    <row r="938" spans="1:7">
      <c r="A938" s="1">
        <v>39897</v>
      </c>
      <c r="B938">
        <v>1.3494</v>
      </c>
      <c r="C938">
        <f t="shared" si="70"/>
        <v>-0.0962927373393553</v>
      </c>
      <c r="D938">
        <f t="shared" si="71"/>
        <v>1.82326202761376</v>
      </c>
      <c r="E938">
        <f t="shared" si="72"/>
        <v>1.32711416510058</v>
      </c>
      <c r="F938">
        <f t="shared" si="74"/>
        <v>0.302856385120344</v>
      </c>
      <c r="G938">
        <f t="shared" si="73"/>
        <v>0.144996795838046</v>
      </c>
    </row>
    <row r="939" spans="1:7">
      <c r="A939" s="1">
        <v>39898</v>
      </c>
      <c r="B939">
        <v>1.3607</v>
      </c>
      <c r="C939">
        <f t="shared" si="70"/>
        <v>0.833922400348778</v>
      </c>
      <c r="D939">
        <f t="shared" si="71"/>
        <v>1.64186305397881</v>
      </c>
      <c r="E939">
        <f t="shared" si="72"/>
        <v>1.24895092975776</v>
      </c>
      <c r="F939">
        <f t="shared" si="74"/>
        <v>0.459695514908864</v>
      </c>
      <c r="G939">
        <f t="shared" si="73"/>
        <v>0.389556251812008</v>
      </c>
    </row>
    <row r="940" spans="1:7">
      <c r="A940" s="1">
        <v>39899</v>
      </c>
      <c r="B940">
        <v>1.3295</v>
      </c>
      <c r="C940">
        <f t="shared" si="70"/>
        <v>-2.31963415137384</v>
      </c>
      <c r="D940">
        <f t="shared" si="71"/>
        <v>1.54721940556128</v>
      </c>
      <c r="E940">
        <f t="shared" si="72"/>
        <v>1.20978520246247</v>
      </c>
      <c r="F940">
        <f t="shared" si="74"/>
        <v>1.95705955125836</v>
      </c>
      <c r="G940">
        <f t="shared" si="73"/>
        <v>2.31904700796065</v>
      </c>
    </row>
    <row r="941" spans="1:7">
      <c r="A941" s="1">
        <v>39902</v>
      </c>
      <c r="B941">
        <v>1.3193</v>
      </c>
      <c r="C941">
        <f t="shared" si="70"/>
        <v>-0.770163879334358</v>
      </c>
      <c r="D941">
        <f t="shared" si="71"/>
        <v>1.93056772462713</v>
      </c>
      <c r="E941">
        <f t="shared" si="72"/>
        <v>1.40723322012571</v>
      </c>
      <c r="F941">
        <f t="shared" si="74"/>
        <v>0.482528294996322</v>
      </c>
      <c r="G941">
        <f t="shared" si="73"/>
        <v>0.38156403936849</v>
      </c>
    </row>
    <row r="942" spans="1:7">
      <c r="A942" s="1">
        <v>39903</v>
      </c>
      <c r="B942">
        <v>1.3308</v>
      </c>
      <c r="C942">
        <f t="shared" si="70"/>
        <v>0.867897225459079</v>
      </c>
      <c r="D942">
        <f t="shared" si="71"/>
        <v>1.79682619226755</v>
      </c>
      <c r="E942">
        <f t="shared" si="72"/>
        <v>1.35345684696974</v>
      </c>
      <c r="F942">
        <f t="shared" si="74"/>
        <v>0.50261540840141</v>
      </c>
      <c r="G942">
        <f t="shared" si="73"/>
        <v>0.42959828422589</v>
      </c>
    </row>
    <row r="943" spans="1:7">
      <c r="A943" s="1">
        <v>39904</v>
      </c>
      <c r="B943">
        <v>1.3246</v>
      </c>
      <c r="C943">
        <f t="shared" si="70"/>
        <v>-0.466973809344258</v>
      </c>
      <c r="D943">
        <f t="shared" si="71"/>
        <v>1.69246813243675</v>
      </c>
      <c r="E943">
        <f t="shared" si="72"/>
        <v>1.31091171584953</v>
      </c>
      <c r="F943">
        <f t="shared" si="74"/>
        <v>0.327516000035922</v>
      </c>
      <c r="G943">
        <f t="shared" si="73"/>
        <v>0.218534285144366</v>
      </c>
    </row>
    <row r="944" spans="1:7">
      <c r="A944" s="1">
        <v>39905</v>
      </c>
      <c r="B944">
        <v>1.3392</v>
      </c>
      <c r="C944">
        <f t="shared" si="70"/>
        <v>1.09618936843317</v>
      </c>
      <c r="D944">
        <f t="shared" si="71"/>
        <v>1.54502777305443</v>
      </c>
      <c r="E944">
        <f t="shared" si="72"/>
        <v>1.24416023982923</v>
      </c>
      <c r="F944">
        <f t="shared" si="74"/>
        <v>0.606391341593375</v>
      </c>
      <c r="G944">
        <f t="shared" si="73"/>
        <v>0.59213890657244</v>
      </c>
    </row>
    <row r="945" spans="1:7">
      <c r="A945" s="1">
        <v>39906</v>
      </c>
      <c r="B945">
        <v>1.3425</v>
      </c>
      <c r="C945">
        <f t="shared" si="70"/>
        <v>0.246112664780901</v>
      </c>
      <c r="D945">
        <f t="shared" si="71"/>
        <v>1.51068810889558</v>
      </c>
      <c r="E945">
        <f t="shared" si="72"/>
        <v>1.23059218201277</v>
      </c>
      <c r="F945">
        <f t="shared" si="74"/>
        <v>0.226330257867886</v>
      </c>
      <c r="G945">
        <f t="shared" si="73"/>
        <v>0.128358440487417</v>
      </c>
    </row>
    <row r="946" spans="1:7">
      <c r="A946" s="1">
        <v>39909</v>
      </c>
      <c r="B946">
        <v>1.3496</v>
      </c>
      <c r="C946">
        <f t="shared" si="70"/>
        <v>0.52747048487388</v>
      </c>
      <c r="D946">
        <f t="shared" si="71"/>
        <v>1.36567644238257</v>
      </c>
      <c r="E946">
        <f t="shared" si="72"/>
        <v>1.16078522328029</v>
      </c>
      <c r="F946">
        <f t="shared" si="74"/>
        <v>0.257688414937488</v>
      </c>
      <c r="G946">
        <f t="shared" si="73"/>
        <v>0.194391839734109</v>
      </c>
    </row>
    <row r="947" spans="1:7">
      <c r="A947" s="1">
        <v>39910</v>
      </c>
      <c r="B947">
        <v>1.3255</v>
      </c>
      <c r="C947">
        <f t="shared" si="70"/>
        <v>-1.80185055026784</v>
      </c>
      <c r="D947">
        <f t="shared" si="71"/>
        <v>1.25693130938562</v>
      </c>
      <c r="E947">
        <f t="shared" si="72"/>
        <v>1.10604936550412</v>
      </c>
      <c r="F947">
        <f t="shared" si="74"/>
        <v>1.40584134806294</v>
      </c>
      <c r="G947">
        <f t="shared" si="73"/>
        <v>1.51808284658896</v>
      </c>
    </row>
    <row r="948" spans="1:7">
      <c r="A948" s="1">
        <v>39911</v>
      </c>
      <c r="B948">
        <v>1.3231</v>
      </c>
      <c r="C948">
        <f t="shared" si="70"/>
        <v>-0.181227868071488</v>
      </c>
      <c r="D948">
        <f t="shared" si="71"/>
        <v>1.45590471899711</v>
      </c>
      <c r="E948">
        <f t="shared" si="72"/>
        <v>1.2030196738489</v>
      </c>
      <c r="F948">
        <f t="shared" si="74"/>
        <v>0.199093180064177</v>
      </c>
      <c r="G948">
        <f t="shared" si="73"/>
        <v>0.10606785388266</v>
      </c>
    </row>
    <row r="949" spans="1:7">
      <c r="A949" s="1">
        <v>39912</v>
      </c>
      <c r="B949">
        <v>1.3273</v>
      </c>
      <c r="C949">
        <f t="shared" si="70"/>
        <v>0.316933558379127</v>
      </c>
      <c r="D949">
        <f t="shared" si="71"/>
        <v>1.31359860111397</v>
      </c>
      <c r="E949">
        <f t="shared" si="72"/>
        <v>1.13348067042625</v>
      </c>
      <c r="F949">
        <f t="shared" si="74"/>
        <v>0.174618673108864</v>
      </c>
      <c r="G949">
        <f t="shared" si="73"/>
        <v>0.106955608776945</v>
      </c>
    </row>
    <row r="950" spans="1:7">
      <c r="A950" s="1">
        <v>39917</v>
      </c>
      <c r="B950">
        <v>1.3276</v>
      </c>
      <c r="C950">
        <f t="shared" si="70"/>
        <v>0.0225997213662942</v>
      </c>
      <c r="D950">
        <f t="shared" si="71"/>
        <v>1.19228342904526</v>
      </c>
      <c r="E950">
        <f t="shared" si="72"/>
        <v>1.07149417422202</v>
      </c>
      <c r="F950">
        <f t="shared" si="74"/>
        <v>0.0881493469664996</v>
      </c>
      <c r="G950">
        <f t="shared" si="73"/>
        <v>0.0347653836395604</v>
      </c>
    </row>
    <row r="951" spans="1:7">
      <c r="A951" s="1">
        <v>39918</v>
      </c>
      <c r="B951">
        <v>1.3173</v>
      </c>
      <c r="C951">
        <f t="shared" si="70"/>
        <v>-0.778861361003813</v>
      </c>
      <c r="D951">
        <f t="shared" si="71"/>
        <v>1.07310616088132</v>
      </c>
      <c r="E951">
        <f t="shared" si="72"/>
        <v>1.00823006113899</v>
      </c>
      <c r="F951">
        <f t="shared" si="74"/>
        <v>0.317927816510094</v>
      </c>
      <c r="G951">
        <f t="shared" si="73"/>
        <v>0.304934795602928</v>
      </c>
    </row>
    <row r="952" spans="1:7">
      <c r="A952" s="1">
        <v>39919</v>
      </c>
      <c r="B952">
        <v>1.3196</v>
      </c>
      <c r="C952">
        <f t="shared" si="70"/>
        <v>0.174447311864501</v>
      </c>
      <c r="D952">
        <f t="shared" si="71"/>
        <v>1.02645804675966</v>
      </c>
      <c r="E952">
        <f t="shared" si="72"/>
        <v>0.979067508453887</v>
      </c>
      <c r="F952">
        <f t="shared" si="74"/>
        <v>0.0278807687168496</v>
      </c>
      <c r="G952">
        <f t="shared" si="73"/>
        <v>0.00496390823574712</v>
      </c>
    </row>
    <row r="953" spans="1:7">
      <c r="A953" s="1">
        <v>39920</v>
      </c>
      <c r="B953">
        <v>1.3058</v>
      </c>
      <c r="C953">
        <f t="shared" si="70"/>
        <v>-1.05127806018933</v>
      </c>
      <c r="D953">
        <f t="shared" si="71"/>
        <v>0.926855428545369</v>
      </c>
      <c r="E953">
        <f t="shared" si="72"/>
        <v>0.922845051177491</v>
      </c>
      <c r="F953">
        <f t="shared" si="74"/>
        <v>0.558222856668108</v>
      </c>
      <c r="G953">
        <f t="shared" si="73"/>
        <v>0.55864562479148</v>
      </c>
    </row>
    <row r="954" spans="1:7">
      <c r="A954" s="1">
        <v>39923</v>
      </c>
      <c r="B954">
        <v>1.2966</v>
      </c>
      <c r="C954">
        <f t="shared" si="70"/>
        <v>-0.707042601163793</v>
      </c>
      <c r="D954">
        <f t="shared" si="71"/>
        <v>0.944688441674375</v>
      </c>
      <c r="E954">
        <f t="shared" si="72"/>
        <v>0.923733626098613</v>
      </c>
      <c r="F954">
        <f t="shared" si="74"/>
        <v>0.236139427574773</v>
      </c>
      <c r="G954">
        <f t="shared" si="73"/>
        <v>0.230925898857423</v>
      </c>
    </row>
    <row r="955" spans="1:7">
      <c r="A955" s="1">
        <v>39924</v>
      </c>
      <c r="B955">
        <v>1.2932</v>
      </c>
      <c r="C955">
        <f t="shared" si="70"/>
        <v>-0.262568688961733</v>
      </c>
      <c r="D955">
        <f t="shared" si="71"/>
        <v>0.900210521492984</v>
      </c>
      <c r="E955">
        <f t="shared" si="72"/>
        <v>0.89430507052572</v>
      </c>
      <c r="F955">
        <f t="shared" si="74"/>
        <v>-0.0142709852838138</v>
      </c>
      <c r="G955">
        <f t="shared" si="73"/>
        <v>-0.0173089706364918</v>
      </c>
    </row>
    <row r="956" spans="1:7">
      <c r="A956" s="1">
        <v>39925</v>
      </c>
      <c r="B956">
        <v>1.2947</v>
      </c>
      <c r="C956">
        <f t="shared" si="70"/>
        <v>0.115924121332351</v>
      </c>
      <c r="D956">
        <f t="shared" si="71"/>
        <v>0.817083700985994</v>
      </c>
      <c r="E956">
        <f t="shared" si="72"/>
        <v>0.845093882115331</v>
      </c>
      <c r="F956">
        <f t="shared" si="74"/>
        <v>-0.0927834763982186</v>
      </c>
      <c r="G956">
        <f t="shared" si="73"/>
        <v>-0.0762029436083888</v>
      </c>
    </row>
    <row r="957" spans="1:7">
      <c r="A957" s="1">
        <v>39926</v>
      </c>
      <c r="B957">
        <v>1.305</v>
      </c>
      <c r="C957">
        <f t="shared" si="70"/>
        <v>0.792403269219211</v>
      </c>
      <c r="D957">
        <f t="shared" si="71"/>
        <v>0.736719171078062</v>
      </c>
      <c r="E957">
        <f t="shared" si="72"/>
        <v>0.796060169283745</v>
      </c>
      <c r="F957">
        <f t="shared" si="74"/>
        <v>0.273373842593688</v>
      </c>
      <c r="G957">
        <f t="shared" si="73"/>
        <v>0.280341330795572</v>
      </c>
    </row>
    <row r="958" spans="1:7">
      <c r="A958" s="1">
        <v>39927</v>
      </c>
      <c r="B958">
        <v>1.3232</v>
      </c>
      <c r="C958">
        <f t="shared" si="70"/>
        <v>1.38500045126332</v>
      </c>
      <c r="D958">
        <f t="shared" si="71"/>
        <v>0.725837548077185</v>
      </c>
      <c r="E958">
        <f t="shared" si="72"/>
        <v>0.780691706180185</v>
      </c>
      <c r="F958">
        <f t="shared" si="74"/>
        <v>1.16117361033579</v>
      </c>
      <c r="G958">
        <f t="shared" si="73"/>
        <v>1.10475526166531</v>
      </c>
    </row>
    <row r="959" spans="1:7">
      <c r="A959" s="1">
        <v>39930</v>
      </c>
      <c r="B959">
        <v>1.3125</v>
      </c>
      <c r="C959">
        <f t="shared" si="70"/>
        <v>-0.811932980364802</v>
      </c>
      <c r="D959">
        <f t="shared" si="71"/>
        <v>0.845076418269426</v>
      </c>
      <c r="E959">
        <f t="shared" si="72"/>
        <v>0.830761516309353</v>
      </c>
      <c r="F959">
        <f t="shared" si="74"/>
        <v>0.305880595096106</v>
      </c>
      <c r="G959">
        <f t="shared" si="73"/>
        <v>0.304059334308694</v>
      </c>
    </row>
    <row r="960" spans="1:7">
      <c r="A960" s="1">
        <v>39931</v>
      </c>
      <c r="B960">
        <v>1.2992</v>
      </c>
      <c r="C960">
        <f t="shared" si="70"/>
        <v>-1.01850250583654</v>
      </c>
      <c r="D960">
        <f t="shared" si="71"/>
        <v>0.82649229290289</v>
      </c>
      <c r="E960">
        <f t="shared" si="72"/>
        <v>0.814877583560995</v>
      </c>
      <c r="F960">
        <f t="shared" si="74"/>
        <v>0.532277866990189</v>
      </c>
      <c r="G960">
        <f t="shared" si="73"/>
        <v>0.534146334993746</v>
      </c>
    </row>
    <row r="961" spans="1:7">
      <c r="A961" s="1">
        <v>39932</v>
      </c>
      <c r="B961">
        <v>1.3266</v>
      </c>
      <c r="C961">
        <f t="shared" si="70"/>
        <v>2.08705876840421</v>
      </c>
      <c r="D961">
        <f t="shared" si="71"/>
        <v>0.847577799052133</v>
      </c>
      <c r="E961">
        <f t="shared" si="72"/>
        <v>0.818852296267101</v>
      </c>
      <c r="F961">
        <f t="shared" si="74"/>
        <v>2.48687974393893</v>
      </c>
      <c r="G961">
        <f t="shared" si="73"/>
        <v>2.55978118083121</v>
      </c>
    </row>
    <row r="962" spans="1:7">
      <c r="A962" s="1">
        <v>39933</v>
      </c>
      <c r="B962">
        <v>1.3275</v>
      </c>
      <c r="C962">
        <f t="shared" si="70"/>
        <v>0.0678196024638117</v>
      </c>
      <c r="D962">
        <f t="shared" si="71"/>
        <v>1.19840144942421</v>
      </c>
      <c r="E962">
        <f t="shared" si="72"/>
        <v>0.98851187362972</v>
      </c>
      <c r="F962">
        <f t="shared" si="74"/>
        <v>0.0924132856899548</v>
      </c>
      <c r="G962">
        <f t="shared" si="73"/>
        <v>-0.00345083624879414</v>
      </c>
    </row>
    <row r="963" spans="1:7">
      <c r="A963" s="1">
        <v>39937</v>
      </c>
      <c r="B963">
        <v>1.3223</v>
      </c>
      <c r="C963">
        <f t="shared" si="70"/>
        <v>-0.39248295533166</v>
      </c>
      <c r="D963">
        <f t="shared" si="71"/>
        <v>1.07902125432962</v>
      </c>
      <c r="E963">
        <f t="shared" si="72"/>
        <v>0.930431136135855</v>
      </c>
      <c r="F963">
        <f t="shared" si="74"/>
        <v>0.109408024344065</v>
      </c>
      <c r="G963">
        <f t="shared" si="73"/>
        <v>0.0467267650014012</v>
      </c>
    </row>
    <row r="964" spans="1:7">
      <c r="A964" s="1">
        <v>39938</v>
      </c>
      <c r="B964">
        <v>1.3403</v>
      </c>
      <c r="C964">
        <f t="shared" ref="C964:C1027" si="75">100*LN(B964/B963)</f>
        <v>1.35208249216738</v>
      </c>
      <c r="D964">
        <f t="shared" si="71"/>
        <v>0.986523415919249</v>
      </c>
      <c r="E964">
        <f t="shared" si="72"/>
        <v>0.883307411478997</v>
      </c>
      <c r="F964">
        <f t="shared" si="74"/>
        <v>0.919766156648529</v>
      </c>
      <c r="G964">
        <f t="shared" si="73"/>
        <v>0.972778275057315</v>
      </c>
    </row>
    <row r="965" spans="1:7">
      <c r="A965" s="1">
        <v>39939</v>
      </c>
      <c r="B965">
        <v>1.3322</v>
      </c>
      <c r="C965">
        <f t="shared" si="75"/>
        <v>-0.606175850537188</v>
      </c>
      <c r="D965">
        <f t="shared" ref="D965:D1028" si="76">$J$1*D964+(1-$J$1)*C964^2</f>
        <v>1.07068378088988</v>
      </c>
      <c r="E965">
        <f t="shared" ref="E965:E1028" si="77">$K$1+$K$2*C964^2+$K$3*E964</f>
        <v>0.922715320071534</v>
      </c>
      <c r="F965">
        <f t="shared" si="74"/>
        <v>0.205744304024928</v>
      </c>
      <c r="G965">
        <f t="shared" ref="G965:G1028" si="78">0.5*(LN(E965)+C965^2/E965)</f>
        <v>0.158895701954855</v>
      </c>
    </row>
    <row r="966" spans="1:7">
      <c r="A966" s="1">
        <v>39940</v>
      </c>
      <c r="B966">
        <v>1.3363</v>
      </c>
      <c r="C966">
        <f t="shared" si="75"/>
        <v>0.307288980793611</v>
      </c>
      <c r="D966">
        <f t="shared" si="76"/>
        <v>1.00036031897834</v>
      </c>
      <c r="E966">
        <f t="shared" si="77"/>
        <v>0.886724858955966</v>
      </c>
      <c r="F966">
        <f t="shared" si="74"/>
        <v>0.0473763801923931</v>
      </c>
      <c r="G966">
        <f t="shared" si="78"/>
        <v>-0.00686572696728712</v>
      </c>
    </row>
    <row r="967" spans="1:7">
      <c r="A967" s="1">
        <v>39941</v>
      </c>
      <c r="B967">
        <v>1.3425</v>
      </c>
      <c r="C967">
        <f t="shared" si="75"/>
        <v>0.46289465960045</v>
      </c>
      <c r="D967">
        <f t="shared" si="76"/>
        <v>0.909766938852222</v>
      </c>
      <c r="E967">
        <f t="shared" si="77"/>
        <v>0.839242693304467</v>
      </c>
      <c r="F967">
        <f t="shared" ref="F967:F1030" si="79">0.5*(LN(D967)+C967^2/D967)</f>
        <v>0.0704783230441026</v>
      </c>
      <c r="G967">
        <f t="shared" si="78"/>
        <v>0.0400299549776643</v>
      </c>
    </row>
    <row r="968" spans="1:7">
      <c r="A968" s="1">
        <v>39944</v>
      </c>
      <c r="B968">
        <v>1.3574</v>
      </c>
      <c r="C968">
        <f t="shared" si="75"/>
        <v>1.10375578866382</v>
      </c>
      <c r="D968">
        <f t="shared" si="76"/>
        <v>0.840217391555662</v>
      </c>
      <c r="E968">
        <f t="shared" si="77"/>
        <v>0.80060170500053</v>
      </c>
      <c r="F968">
        <f t="shared" si="79"/>
        <v>0.637929852030349</v>
      </c>
      <c r="G968">
        <f t="shared" si="78"/>
        <v>0.64965491460611</v>
      </c>
    </row>
    <row r="969" spans="1:7">
      <c r="A969" s="1">
        <v>39945</v>
      </c>
      <c r="B969">
        <v>1.3683</v>
      </c>
      <c r="C969">
        <f t="shared" si="75"/>
        <v>0.799798811610666</v>
      </c>
      <c r="D969">
        <f t="shared" si="76"/>
        <v>0.878023336500985</v>
      </c>
      <c r="E969">
        <f t="shared" si="77"/>
        <v>0.814479444750943</v>
      </c>
      <c r="F969">
        <f t="shared" si="79"/>
        <v>0.299230665065706</v>
      </c>
      <c r="G969">
        <f t="shared" si="78"/>
        <v>0.290088351254512</v>
      </c>
    </row>
    <row r="970" spans="1:7">
      <c r="A970" s="1">
        <v>39946</v>
      </c>
      <c r="B970">
        <v>1.3623</v>
      </c>
      <c r="C970">
        <f t="shared" si="75"/>
        <v>-0.43946456137493</v>
      </c>
      <c r="D970">
        <f t="shared" si="76"/>
        <v>0.85418881675627</v>
      </c>
      <c r="E970">
        <f t="shared" si="77"/>
        <v>0.798594585018578</v>
      </c>
      <c r="F970">
        <f t="shared" si="79"/>
        <v>0.0342467429904036</v>
      </c>
      <c r="G970">
        <f t="shared" si="78"/>
        <v>0.00846718061547259</v>
      </c>
    </row>
    <row r="971" spans="1:7">
      <c r="A971" s="1">
        <v>39947</v>
      </c>
      <c r="B971">
        <v>1.3563</v>
      </c>
      <c r="C971">
        <f t="shared" si="75"/>
        <v>-0.441404380334601</v>
      </c>
      <c r="D971">
        <f t="shared" si="76"/>
        <v>0.788082845151089</v>
      </c>
      <c r="E971">
        <f t="shared" si="77"/>
        <v>0.761335364952686</v>
      </c>
      <c r="F971">
        <f t="shared" si="79"/>
        <v>0.00453903612144291</v>
      </c>
      <c r="G971">
        <f t="shared" si="78"/>
        <v>-0.0083827129698909</v>
      </c>
    </row>
    <row r="972" spans="1:7">
      <c r="A972" s="1">
        <v>39948</v>
      </c>
      <c r="B972">
        <v>1.3518</v>
      </c>
      <c r="C972">
        <f t="shared" si="75"/>
        <v>-0.332336630241554</v>
      </c>
      <c r="D972">
        <f t="shared" si="76"/>
        <v>0.728758343333837</v>
      </c>
      <c r="E972">
        <f t="shared" si="77"/>
        <v>0.726397134404454</v>
      </c>
      <c r="F972">
        <f t="shared" si="79"/>
        <v>-0.0824285899693078</v>
      </c>
      <c r="G972">
        <f t="shared" si="78"/>
        <v>-0.0838049200182457</v>
      </c>
    </row>
    <row r="973" spans="1:7">
      <c r="A973" s="1">
        <v>39951</v>
      </c>
      <c r="B973">
        <v>1.3494</v>
      </c>
      <c r="C973">
        <f t="shared" si="75"/>
        <v>-0.177698847292869</v>
      </c>
      <c r="D973">
        <f t="shared" si="76"/>
        <v>0.666927272580485</v>
      </c>
      <c r="E973">
        <f t="shared" si="77"/>
        <v>0.689335688130202</v>
      </c>
      <c r="F973">
        <f t="shared" si="79"/>
        <v>-0.178863731708737</v>
      </c>
      <c r="G973">
        <f t="shared" si="78"/>
        <v>-0.163109609491931</v>
      </c>
    </row>
    <row r="974" spans="1:7">
      <c r="A974" s="1">
        <v>39952</v>
      </c>
      <c r="B974">
        <v>1.3612</v>
      </c>
      <c r="C974">
        <f t="shared" si="75"/>
        <v>0.870661443342567</v>
      </c>
      <c r="D974">
        <f t="shared" si="76"/>
        <v>0.603392233355358</v>
      </c>
      <c r="E974">
        <f t="shared" si="77"/>
        <v>0.65055439085885</v>
      </c>
      <c r="F974">
        <f t="shared" si="79"/>
        <v>0.375564114515327</v>
      </c>
      <c r="G974">
        <f t="shared" si="78"/>
        <v>0.367654315525455</v>
      </c>
    </row>
    <row r="975" spans="1:7">
      <c r="A975" s="1">
        <v>39953</v>
      </c>
      <c r="B975">
        <v>1.369</v>
      </c>
      <c r="C975">
        <f t="shared" si="75"/>
        <v>0.571388266169836</v>
      </c>
      <c r="D975">
        <f t="shared" si="76"/>
        <v>0.618858144912158</v>
      </c>
      <c r="E975">
        <f t="shared" si="77"/>
        <v>0.650423694853488</v>
      </c>
      <c r="F975">
        <f t="shared" si="79"/>
        <v>0.0238401958691942</v>
      </c>
      <c r="G975">
        <f t="shared" si="78"/>
        <v>0.0359127196897604</v>
      </c>
    </row>
    <row r="976" spans="1:7">
      <c r="A976" s="1">
        <v>39954</v>
      </c>
      <c r="B976">
        <v>1.3771</v>
      </c>
      <c r="C976">
        <f t="shared" si="75"/>
        <v>0.589929244463131</v>
      </c>
      <c r="D976">
        <f t="shared" si="76"/>
        <v>0.589620785492599</v>
      </c>
      <c r="E976">
        <f t="shared" si="77"/>
        <v>0.628722500698107</v>
      </c>
      <c r="F976">
        <f t="shared" si="79"/>
        <v>0.0309810898120793</v>
      </c>
      <c r="G976">
        <f t="shared" si="78"/>
        <v>0.0447321518299094</v>
      </c>
    </row>
    <row r="977" spans="1:7">
      <c r="A977" s="1">
        <v>39955</v>
      </c>
      <c r="B977">
        <v>1.3972</v>
      </c>
      <c r="C977">
        <f t="shared" si="75"/>
        <v>1.44903951995967</v>
      </c>
      <c r="D977">
        <f t="shared" si="76"/>
        <v>0.565460358290623</v>
      </c>
      <c r="E977">
        <f t="shared" si="77"/>
        <v>0.609399976329863</v>
      </c>
      <c r="F977">
        <f t="shared" si="79"/>
        <v>1.57158501339342</v>
      </c>
      <c r="G977">
        <f t="shared" si="78"/>
        <v>1.47513267554659</v>
      </c>
    </row>
    <row r="978" spans="1:7">
      <c r="A978" s="1">
        <v>39958</v>
      </c>
      <c r="B978">
        <v>1.401</v>
      </c>
      <c r="C978">
        <f t="shared" si="75"/>
        <v>0.271603340433009</v>
      </c>
      <c r="D978">
        <f t="shared" si="76"/>
        <v>0.718885875502056</v>
      </c>
      <c r="E978">
        <f t="shared" si="77"/>
        <v>0.678821754270318</v>
      </c>
      <c r="F978">
        <f t="shared" si="79"/>
        <v>-0.113718899540342</v>
      </c>
      <c r="G978">
        <f t="shared" si="78"/>
        <v>-0.139362749068071</v>
      </c>
    </row>
    <row r="979" spans="1:7">
      <c r="A979" s="1">
        <v>39959</v>
      </c>
      <c r="B979">
        <v>1.3908</v>
      </c>
      <c r="C979">
        <f t="shared" si="75"/>
        <v>-0.730714620330061</v>
      </c>
      <c r="D979">
        <f t="shared" si="76"/>
        <v>0.654374125405287</v>
      </c>
      <c r="E979">
        <f t="shared" si="77"/>
        <v>0.642780867740817</v>
      </c>
      <c r="F979">
        <f t="shared" si="79"/>
        <v>0.195942552298681</v>
      </c>
      <c r="G979">
        <f t="shared" si="78"/>
        <v>0.194363241352342</v>
      </c>
    </row>
    <row r="980" spans="1:7">
      <c r="A980" s="1">
        <v>39960</v>
      </c>
      <c r="B980">
        <v>1.3901</v>
      </c>
      <c r="C980">
        <f t="shared" si="75"/>
        <v>-0.0503434150659474</v>
      </c>
      <c r="D980">
        <f t="shared" si="76"/>
        <v>0.642331098501169</v>
      </c>
      <c r="E980">
        <f t="shared" si="77"/>
        <v>0.631911208494574</v>
      </c>
      <c r="F980">
        <f t="shared" si="79"/>
        <v>-0.219352828635215</v>
      </c>
      <c r="G980">
        <f t="shared" si="78"/>
        <v>-0.227497801736656</v>
      </c>
    </row>
    <row r="981" spans="1:7">
      <c r="A981" s="1">
        <v>39961</v>
      </c>
      <c r="B981">
        <v>1.3856</v>
      </c>
      <c r="C981">
        <f t="shared" si="75"/>
        <v>-0.324242817487624</v>
      </c>
      <c r="D981">
        <f t="shared" si="76"/>
        <v>0.578351434595102</v>
      </c>
      <c r="E981">
        <f t="shared" si="77"/>
        <v>0.595123258956924</v>
      </c>
      <c r="F981">
        <f t="shared" si="79"/>
        <v>-0.182896199707725</v>
      </c>
      <c r="G981">
        <f t="shared" si="78"/>
        <v>-0.171164267660861</v>
      </c>
    </row>
    <row r="982" spans="1:7">
      <c r="A982" s="1">
        <v>39962</v>
      </c>
      <c r="B982">
        <v>1.4098</v>
      </c>
      <c r="C982">
        <f t="shared" si="75"/>
        <v>1.73145915316044</v>
      </c>
      <c r="D982">
        <f t="shared" si="76"/>
        <v>0.531029631604823</v>
      </c>
      <c r="E982">
        <f t="shared" si="77"/>
        <v>0.565672533654124</v>
      </c>
      <c r="F982">
        <f t="shared" si="79"/>
        <v>2.50630294112232</v>
      </c>
      <c r="G982">
        <f t="shared" si="78"/>
        <v>2.36502959731743</v>
      </c>
    </row>
    <row r="983" spans="1:7">
      <c r="A983" s="1">
        <v>39965</v>
      </c>
      <c r="B983">
        <v>1.422</v>
      </c>
      <c r="C983">
        <f t="shared" si="75"/>
        <v>0.861648102341097</v>
      </c>
      <c r="D983">
        <f t="shared" si="76"/>
        <v>0.777721748350649</v>
      </c>
      <c r="E983">
        <f t="shared" si="77"/>
        <v>0.682629721588031</v>
      </c>
      <c r="F983">
        <f t="shared" si="79"/>
        <v>0.351622369742507</v>
      </c>
      <c r="G983">
        <f t="shared" si="78"/>
        <v>0.352905510156028</v>
      </c>
    </row>
    <row r="984" spans="1:7">
      <c r="A984" s="1">
        <v>39966</v>
      </c>
      <c r="B984">
        <v>1.4238</v>
      </c>
      <c r="C984">
        <f t="shared" si="75"/>
        <v>0.12650223065867</v>
      </c>
      <c r="D984">
        <f t="shared" si="76"/>
        <v>0.774193318742385</v>
      </c>
      <c r="E984">
        <f t="shared" si="77"/>
        <v>0.67979381090615</v>
      </c>
      <c r="F984">
        <f t="shared" si="79"/>
        <v>-0.117631681373294</v>
      </c>
      <c r="G984">
        <f t="shared" si="78"/>
        <v>-0.181212528763028</v>
      </c>
    </row>
    <row r="985" spans="1:7">
      <c r="A985" s="1">
        <v>39967</v>
      </c>
      <c r="B985">
        <v>1.4207</v>
      </c>
      <c r="C985">
        <f t="shared" si="75"/>
        <v>-0.217964579174134</v>
      </c>
      <c r="D985">
        <f t="shared" si="76"/>
        <v>0.698374268304309</v>
      </c>
      <c r="E985">
        <f t="shared" si="77"/>
        <v>0.640806322969862</v>
      </c>
      <c r="F985">
        <f t="shared" si="79"/>
        <v>-0.145486379450484</v>
      </c>
      <c r="G985">
        <f t="shared" si="78"/>
        <v>-0.185444650153039</v>
      </c>
    </row>
    <row r="986" spans="1:7">
      <c r="A986" s="1">
        <v>39968</v>
      </c>
      <c r="B986">
        <v>1.4095</v>
      </c>
      <c r="C986">
        <f t="shared" si="75"/>
        <v>-0.791467632386419</v>
      </c>
      <c r="D986">
        <f t="shared" si="76"/>
        <v>0.633287697251333</v>
      </c>
      <c r="E986">
        <f t="shared" si="77"/>
        <v>0.605733371480398</v>
      </c>
      <c r="F986">
        <f t="shared" si="79"/>
        <v>0.266163311891326</v>
      </c>
      <c r="G986">
        <f t="shared" si="78"/>
        <v>0.266418839203119</v>
      </c>
    </row>
    <row r="987" spans="1:7">
      <c r="A987" s="1">
        <v>39969</v>
      </c>
      <c r="B987">
        <v>1.4177</v>
      </c>
      <c r="C987">
        <f t="shared" si="75"/>
        <v>0.580080856941856</v>
      </c>
      <c r="D987">
        <f t="shared" si="76"/>
        <v>0.632601028837737</v>
      </c>
      <c r="E987">
        <f t="shared" si="77"/>
        <v>0.601710419847342</v>
      </c>
      <c r="F987">
        <f t="shared" si="79"/>
        <v>0.0370028518337777</v>
      </c>
      <c r="G987">
        <f t="shared" si="78"/>
        <v>0.0256249140026024</v>
      </c>
    </row>
    <row r="988" spans="1:7">
      <c r="A988" s="1">
        <v>39972</v>
      </c>
      <c r="B988">
        <v>1.3866</v>
      </c>
      <c r="C988">
        <f t="shared" si="75"/>
        <v>-2.21811326151957</v>
      </c>
      <c r="D988">
        <f t="shared" si="76"/>
        <v>0.602990306013003</v>
      </c>
      <c r="E988">
        <f t="shared" si="77"/>
        <v>0.583432484686021</v>
      </c>
      <c r="F988">
        <f t="shared" si="79"/>
        <v>3.82676242137502</v>
      </c>
      <c r="G988">
        <f t="shared" si="78"/>
        <v>3.9470355644722</v>
      </c>
    </row>
    <row r="989" spans="1:7">
      <c r="A989" s="1">
        <v>39973</v>
      </c>
      <c r="B989">
        <v>1.3959</v>
      </c>
      <c r="C989">
        <f t="shared" si="75"/>
        <v>0.668466101032237</v>
      </c>
      <c r="D989">
        <f t="shared" si="76"/>
        <v>1.0346939195046</v>
      </c>
      <c r="E989">
        <f t="shared" si="77"/>
        <v>0.79542785765131</v>
      </c>
      <c r="F989">
        <f t="shared" si="79"/>
        <v>0.232984765327719</v>
      </c>
      <c r="G989">
        <f t="shared" si="78"/>
        <v>0.166447074129974</v>
      </c>
    </row>
    <row r="990" spans="1:7">
      <c r="A990" s="1">
        <v>39974</v>
      </c>
      <c r="B990">
        <v>1.4102</v>
      </c>
      <c r="C990">
        <f t="shared" si="75"/>
        <v>1.01921697662276</v>
      </c>
      <c r="D990">
        <f t="shared" si="76"/>
        <v>0.975909220377065</v>
      </c>
      <c r="E990">
        <f t="shared" si="77"/>
        <v>0.771044532603693</v>
      </c>
      <c r="F990">
        <f t="shared" si="79"/>
        <v>0.52003044247135</v>
      </c>
      <c r="G990">
        <f t="shared" si="78"/>
        <v>0.543629179861102</v>
      </c>
    </row>
    <row r="991" spans="1:7">
      <c r="A991" s="1">
        <v>39975</v>
      </c>
      <c r="B991">
        <v>1.3969</v>
      </c>
      <c r="C991">
        <f t="shared" si="75"/>
        <v>-0.947604255143489</v>
      </c>
      <c r="D991">
        <f t="shared" si="76"/>
        <v>0.982198622882962</v>
      </c>
      <c r="E991">
        <f t="shared" si="77"/>
        <v>0.777722022919273</v>
      </c>
      <c r="F991">
        <f t="shared" si="79"/>
        <v>0.448133310253612</v>
      </c>
      <c r="G991">
        <f t="shared" si="78"/>
        <v>0.451604355575427</v>
      </c>
    </row>
    <row r="992" spans="1:7">
      <c r="A992" s="1">
        <v>39976</v>
      </c>
      <c r="B992">
        <v>1.4004</v>
      </c>
      <c r="C992">
        <f t="shared" si="75"/>
        <v>0.250241434700538</v>
      </c>
      <c r="D992">
        <f t="shared" si="76"/>
        <v>0.973774143031271</v>
      </c>
      <c r="E992">
        <f t="shared" si="77"/>
        <v>0.776956392762419</v>
      </c>
      <c r="F992">
        <f t="shared" si="79"/>
        <v>0.01886570059053</v>
      </c>
      <c r="G992">
        <f t="shared" si="78"/>
        <v>-0.0858867552880349</v>
      </c>
    </row>
    <row r="993" spans="1:7">
      <c r="A993" s="1">
        <v>39979</v>
      </c>
      <c r="B993">
        <v>1.385</v>
      </c>
      <c r="C993">
        <f t="shared" si="75"/>
        <v>-1.10577704590718</v>
      </c>
      <c r="D993">
        <f t="shared" si="76"/>
        <v>0.882658806292242</v>
      </c>
      <c r="E993">
        <f t="shared" si="77"/>
        <v>0.734470047978723</v>
      </c>
      <c r="F993">
        <f t="shared" si="79"/>
        <v>0.630239247088282</v>
      </c>
      <c r="G993">
        <f t="shared" si="78"/>
        <v>0.678095021101184</v>
      </c>
    </row>
    <row r="994" spans="1:7">
      <c r="A994" s="1">
        <v>39980</v>
      </c>
      <c r="B994">
        <v>1.389</v>
      </c>
      <c r="C994">
        <f t="shared" si="75"/>
        <v>0.288392413290493</v>
      </c>
      <c r="D994">
        <f t="shared" si="76"/>
        <v>0.91666721318854</v>
      </c>
      <c r="E994">
        <f t="shared" si="77"/>
        <v>0.752538988862761</v>
      </c>
      <c r="F994">
        <f t="shared" si="79"/>
        <v>0.00186013749357682</v>
      </c>
      <c r="G994">
        <f t="shared" si="78"/>
        <v>-0.0868915180106739</v>
      </c>
    </row>
    <row r="995" spans="1:7">
      <c r="A995" s="1">
        <v>39981</v>
      </c>
      <c r="B995">
        <v>1.384</v>
      </c>
      <c r="C995">
        <f t="shared" si="75"/>
        <v>-0.360620657672895</v>
      </c>
      <c r="D995">
        <f t="shared" si="76"/>
        <v>0.833317510274037</v>
      </c>
      <c r="E995">
        <f t="shared" si="77"/>
        <v>0.712545158733171</v>
      </c>
      <c r="F995">
        <f t="shared" si="79"/>
        <v>-0.0131404354735479</v>
      </c>
      <c r="G995">
        <f t="shared" si="78"/>
        <v>-0.0782005437133504</v>
      </c>
    </row>
    <row r="996" spans="1:7">
      <c r="A996" s="1">
        <v>39982</v>
      </c>
      <c r="B996">
        <v>1.392</v>
      </c>
      <c r="C996">
        <f t="shared" si="75"/>
        <v>0.576370471675013</v>
      </c>
      <c r="D996">
        <f t="shared" si="76"/>
        <v>0.762990485120677</v>
      </c>
      <c r="E996">
        <f t="shared" si="77"/>
        <v>0.677294812146202</v>
      </c>
      <c r="F996">
        <f t="shared" si="79"/>
        <v>0.0824430854693571</v>
      </c>
      <c r="G996">
        <f t="shared" si="78"/>
        <v>0.0504181651101968</v>
      </c>
    </row>
    <row r="997" spans="1:7">
      <c r="A997" s="1">
        <v>39983</v>
      </c>
      <c r="B997">
        <v>1.3932</v>
      </c>
      <c r="C997">
        <f t="shared" si="75"/>
        <v>0.0861697597481142</v>
      </c>
      <c r="D997">
        <f t="shared" si="76"/>
        <v>0.719911728670497</v>
      </c>
      <c r="E997">
        <f t="shared" si="77"/>
        <v>0.654267269448374</v>
      </c>
      <c r="F997">
        <f t="shared" si="79"/>
        <v>-0.159156296547334</v>
      </c>
      <c r="G997">
        <f t="shared" si="78"/>
        <v>-0.20644521060795</v>
      </c>
    </row>
    <row r="998" spans="1:7">
      <c r="A998" s="1">
        <v>39986</v>
      </c>
      <c r="B998">
        <v>1.3858</v>
      </c>
      <c r="C998">
        <f t="shared" si="75"/>
        <v>-0.53256692985653</v>
      </c>
      <c r="D998">
        <f t="shared" si="76"/>
        <v>0.648663078552952</v>
      </c>
      <c r="E998">
        <f t="shared" si="77"/>
        <v>0.616382494656224</v>
      </c>
      <c r="F998">
        <f t="shared" si="79"/>
        <v>0.00220377628914226</v>
      </c>
      <c r="G998">
        <f t="shared" si="78"/>
        <v>-0.0118694934756761</v>
      </c>
    </row>
    <row r="999" spans="1:7">
      <c r="A999" s="1">
        <v>39987</v>
      </c>
      <c r="B999">
        <v>1.3978</v>
      </c>
      <c r="C999">
        <f t="shared" si="75"/>
        <v>0.862198184974767</v>
      </c>
      <c r="D999">
        <f t="shared" si="76"/>
        <v>0.612159524175338</v>
      </c>
      <c r="E999">
        <f t="shared" si="77"/>
        <v>0.594580921715691</v>
      </c>
      <c r="F999">
        <f t="shared" si="79"/>
        <v>0.361801812898977</v>
      </c>
      <c r="G999">
        <f t="shared" si="78"/>
        <v>0.365184949459371</v>
      </c>
    </row>
    <row r="1000" spans="1:7">
      <c r="A1000" s="1">
        <v>39988</v>
      </c>
      <c r="B1000">
        <v>1.4029</v>
      </c>
      <c r="C1000">
        <f t="shared" si="75"/>
        <v>0.364195068169804</v>
      </c>
      <c r="D1000">
        <f t="shared" si="76"/>
        <v>0.625282142775182</v>
      </c>
      <c r="E1000">
        <f t="shared" si="77"/>
        <v>0.597075351921438</v>
      </c>
      <c r="F1000">
        <f t="shared" si="79"/>
        <v>-0.128713592846289</v>
      </c>
      <c r="G1000">
        <f t="shared" si="78"/>
        <v>-0.146782855240964</v>
      </c>
    </row>
    <row r="1001" spans="1:7">
      <c r="A1001" s="1">
        <v>39989</v>
      </c>
      <c r="B1001">
        <v>1.394</v>
      </c>
      <c r="C1001">
        <f t="shared" si="75"/>
        <v>-0.636421040425753</v>
      </c>
      <c r="D1001">
        <f t="shared" si="76"/>
        <v>0.576017733265585</v>
      </c>
      <c r="E1001">
        <f t="shared" si="77"/>
        <v>0.568882733190113</v>
      </c>
      <c r="F1001">
        <f t="shared" si="79"/>
        <v>0.0757708127262701</v>
      </c>
      <c r="G1001">
        <f t="shared" si="78"/>
        <v>0.0739483008922908</v>
      </c>
    </row>
    <row r="1002" spans="1:7">
      <c r="A1002" s="1">
        <v>39990</v>
      </c>
      <c r="B1002">
        <v>1.4096</v>
      </c>
      <c r="C1002">
        <f t="shared" si="75"/>
        <v>1.11286638614459</v>
      </c>
      <c r="D1002">
        <f t="shared" si="76"/>
        <v>0.558919134008686</v>
      </c>
      <c r="E1002">
        <f t="shared" si="77"/>
        <v>0.556001356233536</v>
      </c>
      <c r="F1002">
        <f t="shared" si="79"/>
        <v>0.817041378947617</v>
      </c>
      <c r="G1002">
        <f t="shared" si="78"/>
        <v>0.82023845789004</v>
      </c>
    </row>
    <row r="1003" spans="1:7">
      <c r="A1003" s="1">
        <v>39993</v>
      </c>
      <c r="B1003">
        <v>1.4058</v>
      </c>
      <c r="C1003">
        <f t="shared" si="75"/>
        <v>-0.26994404401101</v>
      </c>
      <c r="D1003">
        <f t="shared" si="76"/>
        <v>0.626874379948869</v>
      </c>
      <c r="E1003">
        <f t="shared" si="77"/>
        <v>0.58556485453005</v>
      </c>
      <c r="F1003">
        <f t="shared" si="79"/>
        <v>-0.175383032079359</v>
      </c>
      <c r="G1003">
        <f t="shared" si="78"/>
        <v>-0.20536737708787</v>
      </c>
    </row>
    <row r="1004" spans="1:7">
      <c r="A1004" s="1">
        <v>39994</v>
      </c>
      <c r="B1004">
        <v>1.4134</v>
      </c>
      <c r="C1004">
        <f t="shared" si="75"/>
        <v>0.539161351494897</v>
      </c>
      <c r="D1004">
        <f t="shared" si="76"/>
        <v>0.571473920643684</v>
      </c>
      <c r="E1004">
        <f t="shared" si="77"/>
        <v>0.555074452603098</v>
      </c>
      <c r="F1004">
        <f t="shared" si="79"/>
        <v>-0.0254303069442532</v>
      </c>
      <c r="G1004">
        <f t="shared" si="78"/>
        <v>-0.0324742858650104</v>
      </c>
    </row>
    <row r="1005" spans="1:7">
      <c r="A1005" s="1">
        <v>39995</v>
      </c>
      <c r="B1005">
        <v>1.4096</v>
      </c>
      <c r="C1005">
        <f t="shared" si="75"/>
        <v>-0.269217307483891</v>
      </c>
      <c r="D1005">
        <f t="shared" si="76"/>
        <v>0.543396024873896</v>
      </c>
      <c r="E1005">
        <f t="shared" si="77"/>
        <v>0.537304733594202</v>
      </c>
      <c r="F1005">
        <f t="shared" si="79"/>
        <v>-0.238268635576224</v>
      </c>
      <c r="G1005">
        <f t="shared" si="78"/>
        <v>-0.243149076618868</v>
      </c>
    </row>
    <row r="1006" spans="1:7">
      <c r="A1006" s="1">
        <v>39996</v>
      </c>
      <c r="B1006">
        <v>1.4049</v>
      </c>
      <c r="C1006">
        <f t="shared" si="75"/>
        <v>-0.333985032430924</v>
      </c>
      <c r="D1006">
        <f t="shared" si="76"/>
        <v>0.496304218251394</v>
      </c>
      <c r="E1006">
        <f t="shared" si="77"/>
        <v>0.509690347510994</v>
      </c>
      <c r="F1006">
        <f t="shared" si="79"/>
        <v>-0.23790645754808</v>
      </c>
      <c r="G1006">
        <f t="shared" si="78"/>
        <v>-0.22755068548768</v>
      </c>
    </row>
    <row r="1007" spans="1:7">
      <c r="A1007" s="1">
        <v>39997</v>
      </c>
      <c r="B1007">
        <v>1.4009</v>
      </c>
      <c r="C1007">
        <f t="shared" si="75"/>
        <v>-0.285123865553756</v>
      </c>
      <c r="D1007">
        <f t="shared" si="76"/>
        <v>0.457828396615043</v>
      </c>
      <c r="E1007">
        <f t="shared" si="77"/>
        <v>0.485686226754728</v>
      </c>
      <c r="F1007">
        <f t="shared" si="79"/>
        <v>-0.301846481476802</v>
      </c>
      <c r="G1007">
        <f t="shared" si="78"/>
        <v>-0.277404742728648</v>
      </c>
    </row>
    <row r="1008" spans="1:7">
      <c r="A1008" s="1">
        <v>40000</v>
      </c>
      <c r="B1008">
        <v>1.3897</v>
      </c>
      <c r="C1008">
        <f t="shared" si="75"/>
        <v>-0.802699070953208</v>
      </c>
      <c r="D1008">
        <f t="shared" si="76"/>
        <v>0.420175118824371</v>
      </c>
      <c r="E1008">
        <f t="shared" si="77"/>
        <v>0.46160983408486</v>
      </c>
      <c r="F1008">
        <f t="shared" si="79"/>
        <v>0.333192979755897</v>
      </c>
      <c r="G1008">
        <f t="shared" si="78"/>
        <v>0.311394059790982</v>
      </c>
    </row>
    <row r="1009" spans="1:7">
      <c r="A1009" s="1">
        <v>40001</v>
      </c>
      <c r="B1009">
        <v>1.4019</v>
      </c>
      <c r="C1009">
        <f t="shared" si="75"/>
        <v>0.874056288195388</v>
      </c>
      <c r="D1009">
        <f t="shared" si="76"/>
        <v>0.442590186792848</v>
      </c>
      <c r="E1009">
        <f t="shared" si="77"/>
        <v>0.467129533965226</v>
      </c>
      <c r="F1009">
        <f t="shared" si="79"/>
        <v>0.455516487813333</v>
      </c>
      <c r="G1009">
        <f t="shared" si="78"/>
        <v>0.437158576669591</v>
      </c>
    </row>
    <row r="1010" spans="1:7">
      <c r="A1010" s="1">
        <v>40002</v>
      </c>
      <c r="B1010">
        <v>1.3901</v>
      </c>
      <c r="C1010">
        <f t="shared" si="75"/>
        <v>-0.845277239144331</v>
      </c>
      <c r="D1010">
        <f t="shared" si="76"/>
        <v>0.474728607606953</v>
      </c>
      <c r="E1010">
        <f t="shared" si="77"/>
        <v>0.478300481674007</v>
      </c>
      <c r="F1010">
        <f t="shared" si="79"/>
        <v>0.380022501559652</v>
      </c>
      <c r="G1010">
        <f t="shared" si="78"/>
        <v>0.378150669759839</v>
      </c>
    </row>
    <row r="1011" spans="1:7">
      <c r="A1011" s="1">
        <v>40003</v>
      </c>
      <c r="B1011">
        <v>1.399</v>
      </c>
      <c r="C1011">
        <f t="shared" si="75"/>
        <v>0.638200868243432</v>
      </c>
      <c r="D1011">
        <f t="shared" si="76"/>
        <v>0.498705107947804</v>
      </c>
      <c r="E1011">
        <f t="shared" si="77"/>
        <v>0.48632713332434</v>
      </c>
      <c r="F1011">
        <f t="shared" si="79"/>
        <v>0.0604877450650646</v>
      </c>
      <c r="G1011">
        <f t="shared" si="78"/>
        <v>0.0583145288562892</v>
      </c>
    </row>
    <row r="1012" spans="1:7">
      <c r="A1012" s="1">
        <v>40004</v>
      </c>
      <c r="B1012">
        <v>1.3901</v>
      </c>
      <c r="C1012">
        <f t="shared" si="75"/>
        <v>-0.638200868243432</v>
      </c>
      <c r="D1012">
        <f t="shared" si="76"/>
        <v>0.489564631975691</v>
      </c>
      <c r="E1012">
        <f t="shared" si="77"/>
        <v>0.478512522736213</v>
      </c>
      <c r="F1012">
        <f t="shared" si="79"/>
        <v>0.0588628084835683</v>
      </c>
      <c r="G1012">
        <f t="shared" si="78"/>
        <v>0.0570536129720135</v>
      </c>
    </row>
    <row r="1013" spans="1:7">
      <c r="A1013" s="1">
        <v>40007</v>
      </c>
      <c r="B1013">
        <v>1.3975</v>
      </c>
      <c r="C1013">
        <f t="shared" si="75"/>
        <v>0.53092390462074</v>
      </c>
      <c r="D1013">
        <f t="shared" si="76"/>
        <v>0.481338203600789</v>
      </c>
      <c r="E1013">
        <f t="shared" si="77"/>
        <v>0.471166788783374</v>
      </c>
      <c r="F1013">
        <f t="shared" si="79"/>
        <v>-0.0727836933935647</v>
      </c>
      <c r="G1013">
        <f t="shared" si="78"/>
        <v>-0.0771416193224367</v>
      </c>
    </row>
    <row r="1014" spans="1:7">
      <c r="A1014" s="1">
        <v>40008</v>
      </c>
      <c r="B1014">
        <v>1.3991</v>
      </c>
      <c r="C1014">
        <f t="shared" si="75"/>
        <v>0.114424670998611</v>
      </c>
      <c r="D1014">
        <f t="shared" si="76"/>
        <v>0.461392402490483</v>
      </c>
      <c r="E1014">
        <f t="shared" si="77"/>
        <v>0.457990791081258</v>
      </c>
      <c r="F1014">
        <f t="shared" si="79"/>
        <v>-0.37256462054755</v>
      </c>
      <c r="G1014">
        <f t="shared" si="78"/>
        <v>-0.376159139589355</v>
      </c>
    </row>
    <row r="1015" spans="1:7">
      <c r="A1015" s="1">
        <v>40009</v>
      </c>
      <c r="B1015">
        <v>1.4089</v>
      </c>
      <c r="C1015">
        <f t="shared" si="75"/>
        <v>0.698008531999086</v>
      </c>
      <c r="D1015">
        <f t="shared" si="76"/>
        <v>0.416562462774749</v>
      </c>
      <c r="E1015">
        <f t="shared" si="77"/>
        <v>0.432165993883039</v>
      </c>
      <c r="F1015">
        <f t="shared" si="79"/>
        <v>0.146945917489675</v>
      </c>
      <c r="G1015">
        <f t="shared" si="78"/>
        <v>0.144217948987946</v>
      </c>
    </row>
    <row r="1016" spans="1:7">
      <c r="A1016" s="1">
        <v>40010</v>
      </c>
      <c r="B1016">
        <v>1.413</v>
      </c>
      <c r="C1016">
        <f t="shared" si="75"/>
        <v>0.290584562529639</v>
      </c>
      <c r="D1016">
        <f t="shared" si="76"/>
        <v>0.423627807571626</v>
      </c>
      <c r="E1016">
        <f t="shared" si="77"/>
        <v>0.431596829787233</v>
      </c>
      <c r="F1016">
        <f t="shared" si="79"/>
        <v>-0.329787776076426</v>
      </c>
      <c r="G1016">
        <f t="shared" si="78"/>
        <v>-0.322309628464437</v>
      </c>
    </row>
    <row r="1017" spans="1:7">
      <c r="A1017" s="1">
        <v>40011</v>
      </c>
      <c r="B1017">
        <v>1.409</v>
      </c>
      <c r="C1017">
        <f t="shared" si="75"/>
        <v>-0.283487078584718</v>
      </c>
      <c r="D1017">
        <f t="shared" si="76"/>
        <v>0.389708965612517</v>
      </c>
      <c r="E1017">
        <f t="shared" si="77"/>
        <v>0.410922989399026</v>
      </c>
      <c r="F1017">
        <f t="shared" si="79"/>
        <v>-0.368068632542452</v>
      </c>
      <c r="G1017">
        <f t="shared" si="78"/>
        <v>-0.346888858271038</v>
      </c>
    </row>
    <row r="1018" spans="1:7">
      <c r="A1018" s="1">
        <v>40014</v>
      </c>
      <c r="B1018">
        <v>1.4217</v>
      </c>
      <c r="C1018">
        <f t="shared" si="75"/>
        <v>0.897310574297193</v>
      </c>
      <c r="D1018">
        <f t="shared" si="76"/>
        <v>0.358774561423715</v>
      </c>
      <c r="E1018">
        <f t="shared" si="77"/>
        <v>0.391285856221309</v>
      </c>
      <c r="F1018">
        <f t="shared" si="79"/>
        <v>0.609575601231183</v>
      </c>
      <c r="G1018">
        <f t="shared" si="78"/>
        <v>0.559713735763909</v>
      </c>
    </row>
    <row r="1019" spans="1:7">
      <c r="A1019" s="1">
        <v>40015</v>
      </c>
      <c r="B1019">
        <v>1.4223</v>
      </c>
      <c r="C1019">
        <f t="shared" si="75"/>
        <v>0.0421940934529904</v>
      </c>
      <c r="D1019">
        <f t="shared" si="76"/>
        <v>0.4034137319559</v>
      </c>
      <c r="E1019">
        <f t="shared" si="77"/>
        <v>0.409067018185309</v>
      </c>
      <c r="F1019">
        <f t="shared" si="79"/>
        <v>-0.45168971165569</v>
      </c>
      <c r="G1019">
        <f t="shared" si="78"/>
        <v>-0.444762038803506</v>
      </c>
    </row>
    <row r="1020" spans="1:7">
      <c r="A1020" s="1">
        <v>40016</v>
      </c>
      <c r="B1020">
        <v>1.4191</v>
      </c>
      <c r="C1020">
        <f t="shared" si="75"/>
        <v>-0.225241173569044</v>
      </c>
      <c r="D1020">
        <f t="shared" si="76"/>
        <v>0.363250392912542</v>
      </c>
      <c r="E1020">
        <f t="shared" si="77"/>
        <v>0.385612014170306</v>
      </c>
      <c r="F1020">
        <f t="shared" si="79"/>
        <v>-0.43649864441629</v>
      </c>
      <c r="G1020">
        <f t="shared" si="78"/>
        <v>-0.410678577530659</v>
      </c>
    </row>
    <row r="1021" spans="1:7">
      <c r="A1021" s="1">
        <v>40017</v>
      </c>
      <c r="B1021">
        <v>1.4229</v>
      </c>
      <c r="C1021">
        <f t="shared" si="75"/>
        <v>0.267417471115399</v>
      </c>
      <c r="D1021">
        <f t="shared" si="76"/>
        <v>0.331998712248364</v>
      </c>
      <c r="E1021">
        <f t="shared" si="77"/>
        <v>0.366011972633626</v>
      </c>
      <c r="F1021">
        <f t="shared" si="79"/>
        <v>-0.443612725087493</v>
      </c>
      <c r="G1021">
        <f t="shared" si="78"/>
        <v>-0.404853681724802</v>
      </c>
    </row>
    <row r="1022" spans="1:7">
      <c r="A1022" s="1">
        <v>40018</v>
      </c>
      <c r="B1022">
        <v>1.4227</v>
      </c>
      <c r="C1022">
        <f t="shared" si="75"/>
        <v>-0.0140567894524338</v>
      </c>
      <c r="D1022">
        <f t="shared" si="76"/>
        <v>0.305950051409303</v>
      </c>
      <c r="E1022">
        <f t="shared" si="77"/>
        <v>0.348626859468496</v>
      </c>
      <c r="F1022">
        <f t="shared" si="79"/>
        <v>-0.59184379289305</v>
      </c>
      <c r="G1022">
        <f t="shared" si="78"/>
        <v>-0.526593161674151</v>
      </c>
    </row>
    <row r="1023" spans="1:7">
      <c r="A1023" s="1">
        <v>40021</v>
      </c>
      <c r="B1023">
        <v>1.4269</v>
      </c>
      <c r="C1023">
        <f t="shared" si="75"/>
        <v>0.294778427940809</v>
      </c>
      <c r="D1023">
        <f t="shared" si="76"/>
        <v>0.275374805601344</v>
      </c>
      <c r="E1023">
        <f t="shared" si="77"/>
        <v>0.328719127566872</v>
      </c>
      <c r="F1023">
        <f t="shared" si="79"/>
        <v>-0.487036450006736</v>
      </c>
      <c r="G1023">
        <f t="shared" si="78"/>
        <v>-0.424104728228955</v>
      </c>
    </row>
    <row r="1024" spans="1:7">
      <c r="A1024" s="1">
        <v>40022</v>
      </c>
      <c r="B1024">
        <v>1.4229</v>
      </c>
      <c r="C1024">
        <f t="shared" si="75"/>
        <v>-0.280721638488383</v>
      </c>
      <c r="D1024">
        <f t="shared" si="76"/>
        <v>0.256526757199135</v>
      </c>
      <c r="E1024">
        <f t="shared" si="77"/>
        <v>0.314340695991822</v>
      </c>
      <c r="F1024">
        <f t="shared" si="79"/>
        <v>-0.526661895202337</v>
      </c>
      <c r="G1024">
        <f t="shared" si="78"/>
        <v>-0.453289844391486</v>
      </c>
    </row>
    <row r="1025" spans="1:7">
      <c r="A1025" s="1">
        <v>40023</v>
      </c>
      <c r="B1025">
        <v>1.4104</v>
      </c>
      <c r="C1025">
        <f t="shared" si="75"/>
        <v>-0.882369046798516</v>
      </c>
      <c r="D1025">
        <f t="shared" si="76"/>
        <v>0.238754545310781</v>
      </c>
      <c r="E1025">
        <f t="shared" si="77"/>
        <v>0.300420486148093</v>
      </c>
      <c r="F1025">
        <f t="shared" si="79"/>
        <v>0.914333170236725</v>
      </c>
      <c r="G1025">
        <f t="shared" si="78"/>
        <v>0.694522909548264</v>
      </c>
    </row>
    <row r="1026" spans="1:7">
      <c r="A1026" s="1">
        <v>40024</v>
      </c>
      <c r="B1026">
        <v>1.4053</v>
      </c>
      <c r="C1026">
        <f t="shared" si="75"/>
        <v>-0.362254897696125</v>
      </c>
      <c r="D1026">
        <f t="shared" si="76"/>
        <v>0.292736604254516</v>
      </c>
      <c r="E1026">
        <f t="shared" si="77"/>
        <v>0.322324013716613</v>
      </c>
      <c r="F1026">
        <f t="shared" si="79"/>
        <v>-0.390099914636105</v>
      </c>
      <c r="G1026">
        <f t="shared" si="78"/>
        <v>-0.362532697205381</v>
      </c>
    </row>
    <row r="1027" spans="1:7">
      <c r="A1027" s="1">
        <v>40025</v>
      </c>
      <c r="B1027">
        <v>1.4138</v>
      </c>
      <c r="C1027">
        <f t="shared" si="75"/>
        <v>0.603031163015423</v>
      </c>
      <c r="D1027">
        <f t="shared" si="76"/>
        <v>0.276585804919547</v>
      </c>
      <c r="E1027">
        <f t="shared" si="77"/>
        <v>0.310546003438858</v>
      </c>
      <c r="F1027">
        <f t="shared" si="79"/>
        <v>0.0147676651748999</v>
      </c>
      <c r="G1027">
        <f t="shared" si="78"/>
        <v>0.000783898933037208</v>
      </c>
    </row>
    <row r="1028" spans="1:7">
      <c r="A1028" s="1">
        <v>40028</v>
      </c>
      <c r="B1028">
        <v>1.4303</v>
      </c>
      <c r="C1028">
        <f t="shared" ref="C1028:C1091" si="80">100*LN(B1028/B1027)</f>
        <v>1.16030977240007</v>
      </c>
      <c r="D1028">
        <f t="shared" si="76"/>
        <v>0.285291882784366</v>
      </c>
      <c r="E1028">
        <f t="shared" si="77"/>
        <v>0.311095572410913</v>
      </c>
      <c r="F1028">
        <f t="shared" si="79"/>
        <v>1.73242498486392</v>
      </c>
      <c r="G1028">
        <f t="shared" si="78"/>
        <v>1.58000711220038</v>
      </c>
    </row>
    <row r="1029" spans="1:7">
      <c r="A1029" s="1">
        <v>40029</v>
      </c>
      <c r="B1029">
        <v>1.4384</v>
      </c>
      <c r="C1029">
        <f t="shared" si="80"/>
        <v>0.564717225650145</v>
      </c>
      <c r="D1029">
        <f t="shared" ref="D1029:D1092" si="81">$J$1*D1028+(1-$J$1)*C1028^2</f>
        <v>0.391394571298639</v>
      </c>
      <c r="E1029">
        <f t="shared" ref="E1029:E1092" si="82">$K$1+$K$2*C1028^2+$K$3*E1028</f>
        <v>0.360745776462614</v>
      </c>
      <c r="F1029">
        <f t="shared" si="79"/>
        <v>-0.0616230623490058</v>
      </c>
      <c r="G1029">
        <f t="shared" ref="G1029:G1092" si="83">0.5*(LN(E1029)+C1029^2/E1029)</f>
        <v>-0.0677821923419108</v>
      </c>
    </row>
    <row r="1030" spans="1:7">
      <c r="A1030" s="1">
        <v>40030</v>
      </c>
      <c r="B1030">
        <v>1.441</v>
      </c>
      <c r="C1030">
        <f t="shared" si="80"/>
        <v>0.180593228216627</v>
      </c>
      <c r="D1030">
        <f t="shared" si="81"/>
        <v>0.384145668663375</v>
      </c>
      <c r="E1030">
        <f t="shared" si="82"/>
        <v>0.356046307122157</v>
      </c>
      <c r="F1030">
        <f t="shared" si="79"/>
        <v>-0.435916795659004</v>
      </c>
      <c r="G1030">
        <f t="shared" si="83"/>
        <v>-0.470547138606353</v>
      </c>
    </row>
    <row r="1031" spans="1:7">
      <c r="A1031" s="1">
        <v>40031</v>
      </c>
      <c r="B1031">
        <v>1.437</v>
      </c>
      <c r="C1031">
        <f t="shared" si="80"/>
        <v>-0.277970992049721</v>
      </c>
      <c r="D1031">
        <f t="shared" si="81"/>
        <v>0.348992493204808</v>
      </c>
      <c r="E1031">
        <f t="shared" si="82"/>
        <v>0.337314224398712</v>
      </c>
      <c r="F1031">
        <f t="shared" ref="F1031:F1094" si="84">0.5*(LN(D1031)+C1031^2/D1031)</f>
        <v>-0.415651094479062</v>
      </c>
      <c r="G1031">
        <f t="shared" si="83"/>
        <v>-0.428836216328193</v>
      </c>
    </row>
    <row r="1032" spans="1:7">
      <c r="A1032" s="1">
        <v>40032</v>
      </c>
      <c r="B1032">
        <v>1.4357</v>
      </c>
      <c r="C1032">
        <f t="shared" si="80"/>
        <v>-0.0905071945376761</v>
      </c>
      <c r="D1032">
        <f t="shared" si="81"/>
        <v>0.321820031126437</v>
      </c>
      <c r="E1032">
        <f t="shared" si="82"/>
        <v>0.321938764555845</v>
      </c>
      <c r="F1032">
        <f t="shared" si="84"/>
        <v>-0.554154484770623</v>
      </c>
      <c r="G1032">
        <f t="shared" si="83"/>
        <v>-0.553974740791437</v>
      </c>
    </row>
    <row r="1033" spans="1:7">
      <c r="A1033" s="1">
        <v>40035</v>
      </c>
      <c r="B1033">
        <v>1.4202</v>
      </c>
      <c r="C1033">
        <f t="shared" si="80"/>
        <v>-1.08548283856551</v>
      </c>
      <c r="D1033">
        <f t="shared" si="81"/>
        <v>0.290457183240102</v>
      </c>
      <c r="E1033">
        <f t="shared" si="82"/>
        <v>0.304032016295648</v>
      </c>
      <c r="F1033">
        <f t="shared" si="84"/>
        <v>1.41015799378227</v>
      </c>
      <c r="G1033">
        <f t="shared" si="83"/>
        <v>1.34243379114838</v>
      </c>
    </row>
    <row r="1034" spans="1:7">
      <c r="A1034" s="1">
        <v>40036</v>
      </c>
      <c r="B1034">
        <v>1.4166</v>
      </c>
      <c r="C1034">
        <f t="shared" si="80"/>
        <v>-0.253807242847089</v>
      </c>
      <c r="D1034">
        <f t="shared" si="81"/>
        <v>0.379238764198114</v>
      </c>
      <c r="E1034">
        <f t="shared" si="82"/>
        <v>0.345703744958921</v>
      </c>
      <c r="F1034">
        <f t="shared" si="84"/>
        <v>-0.39986382630952</v>
      </c>
      <c r="G1034">
        <f t="shared" si="83"/>
        <v>-0.437917011401749</v>
      </c>
    </row>
    <row r="1035" spans="1:7">
      <c r="A1035" s="1">
        <v>40037</v>
      </c>
      <c r="B1035">
        <v>1.417</v>
      </c>
      <c r="C1035">
        <f t="shared" si="80"/>
        <v>0.028232637115821</v>
      </c>
      <c r="D1035">
        <f t="shared" si="81"/>
        <v>0.347756699430467</v>
      </c>
      <c r="E1035">
        <f t="shared" si="82"/>
        <v>0.329182426087467</v>
      </c>
      <c r="F1035">
        <f t="shared" si="84"/>
        <v>-0.526980057937024</v>
      </c>
      <c r="G1035">
        <f t="shared" si="83"/>
        <v>-0.554360898451811</v>
      </c>
    </row>
    <row r="1036" spans="1:7">
      <c r="A1036" s="1">
        <v>40038</v>
      </c>
      <c r="B1036">
        <v>1.4293</v>
      </c>
      <c r="C1036">
        <f t="shared" si="80"/>
        <v>0.864285322438912</v>
      </c>
      <c r="D1036">
        <f t="shared" si="81"/>
        <v>0.313060737667272</v>
      </c>
      <c r="E1036">
        <f t="shared" si="82"/>
        <v>0.310471334612145</v>
      </c>
      <c r="F1036">
        <f t="shared" si="84"/>
        <v>0.612362813928126</v>
      </c>
      <c r="G1036">
        <f t="shared" si="83"/>
        <v>0.618160237672054</v>
      </c>
    </row>
    <row r="1037" spans="1:7">
      <c r="A1037" s="1">
        <v>40039</v>
      </c>
      <c r="B1037">
        <v>1.4294</v>
      </c>
      <c r="C1037">
        <f t="shared" si="80"/>
        <v>0.0069961870808855</v>
      </c>
      <c r="D1037">
        <f t="shared" si="81"/>
        <v>0.356453575758878</v>
      </c>
      <c r="E1037">
        <f t="shared" si="82"/>
        <v>0.330192510464583</v>
      </c>
      <c r="F1037">
        <f t="shared" si="84"/>
        <v>-0.515706977145488</v>
      </c>
      <c r="G1037">
        <f t="shared" si="83"/>
        <v>-0.553965596456204</v>
      </c>
    </row>
    <row r="1038" spans="1:7">
      <c r="A1038" s="1">
        <v>40042</v>
      </c>
      <c r="B1038">
        <v>1.4072</v>
      </c>
      <c r="C1038">
        <f t="shared" si="80"/>
        <v>-1.56528613625301</v>
      </c>
      <c r="D1038">
        <f t="shared" si="81"/>
        <v>0.320813112846357</v>
      </c>
      <c r="E1038">
        <f t="shared" si="82"/>
        <v>0.311383407168392</v>
      </c>
      <c r="F1038">
        <f t="shared" si="84"/>
        <v>3.25016230725946</v>
      </c>
      <c r="G1038">
        <f t="shared" si="83"/>
        <v>3.35088540765635</v>
      </c>
    </row>
    <row r="1039" spans="1:7">
      <c r="A1039" s="1">
        <v>40043</v>
      </c>
      <c r="B1039">
        <v>1.4101</v>
      </c>
      <c r="C1039">
        <f t="shared" si="80"/>
        <v>0.205870941983591</v>
      </c>
      <c r="D1039">
        <f t="shared" si="81"/>
        <v>0.533743870396308</v>
      </c>
      <c r="E1039">
        <f t="shared" si="82"/>
        <v>0.416206437155581</v>
      </c>
      <c r="F1039">
        <f t="shared" si="84"/>
        <v>-0.274216244249173</v>
      </c>
      <c r="G1039">
        <f t="shared" si="83"/>
        <v>-0.387371296693116</v>
      </c>
    </row>
    <row r="1040" spans="1:7">
      <c r="A1040" s="1">
        <v>40044</v>
      </c>
      <c r="B1040">
        <v>1.4112</v>
      </c>
      <c r="C1040">
        <f t="shared" si="80"/>
        <v>0.0779782409342467</v>
      </c>
      <c r="D1040">
        <f t="shared" si="81"/>
        <v>0.484607767831998</v>
      </c>
      <c r="E1040">
        <f t="shared" si="82"/>
        <v>0.394353193163907</v>
      </c>
      <c r="F1040">
        <f t="shared" si="84"/>
        <v>-0.355933980902179</v>
      </c>
      <c r="G1040">
        <f t="shared" si="83"/>
        <v>-0.457544576898619</v>
      </c>
    </row>
    <row r="1041" spans="1:7">
      <c r="A1041" s="1">
        <v>40045</v>
      </c>
      <c r="B1041">
        <v>1.4243</v>
      </c>
      <c r="C1041">
        <f t="shared" si="80"/>
        <v>0.924005868801354</v>
      </c>
      <c r="D1041">
        <f t="shared" si="81"/>
        <v>0.436755051654719</v>
      </c>
      <c r="E1041">
        <f t="shared" si="82"/>
        <v>0.371996031877033</v>
      </c>
      <c r="F1041">
        <f t="shared" si="84"/>
        <v>0.56322930556117</v>
      </c>
      <c r="G1041">
        <f t="shared" si="83"/>
        <v>0.653139159788346</v>
      </c>
    </row>
    <row r="1042" spans="1:7">
      <c r="A1042" s="1">
        <v>40046</v>
      </c>
      <c r="B1042">
        <v>1.433</v>
      </c>
      <c r="C1042">
        <f t="shared" si="80"/>
        <v>0.608968388763135</v>
      </c>
      <c r="D1042">
        <f t="shared" si="81"/>
        <v>0.478458231047181</v>
      </c>
      <c r="E1042">
        <f t="shared" si="82"/>
        <v>0.393365612243378</v>
      </c>
      <c r="F1042">
        <f t="shared" si="84"/>
        <v>0.0189458702789053</v>
      </c>
      <c r="G1042">
        <f t="shared" si="83"/>
        <v>0.00486337837496886</v>
      </c>
    </row>
    <row r="1043" spans="1:7">
      <c r="A1043" s="1">
        <v>40049</v>
      </c>
      <c r="B1043">
        <v>1.4323</v>
      </c>
      <c r="C1043">
        <f t="shared" si="80"/>
        <v>-0.0488605042352576</v>
      </c>
      <c r="D1043">
        <f t="shared" si="81"/>
        <v>0.46769665779374</v>
      </c>
      <c r="E1043">
        <f t="shared" si="82"/>
        <v>0.389305800434413</v>
      </c>
      <c r="F1043">
        <f t="shared" si="84"/>
        <v>-0.37741543947906</v>
      </c>
      <c r="G1043">
        <f t="shared" si="83"/>
        <v>-0.468628900963767</v>
      </c>
    </row>
    <row r="1044" spans="1:7">
      <c r="A1044" s="1">
        <v>40050</v>
      </c>
      <c r="B1044">
        <v>1.4324</v>
      </c>
      <c r="C1044">
        <f t="shared" si="80"/>
        <v>0.00698153384580934</v>
      </c>
      <c r="D1044">
        <f t="shared" si="81"/>
        <v>0.421165726901778</v>
      </c>
      <c r="E1044">
        <f t="shared" si="82"/>
        <v>0.367066819852055</v>
      </c>
      <c r="F1044">
        <f t="shared" si="84"/>
        <v>-0.432306570718483</v>
      </c>
      <c r="G1044">
        <f t="shared" si="83"/>
        <v>-0.501039294875439</v>
      </c>
    </row>
    <row r="1045" spans="1:7">
      <c r="A1045" s="1">
        <v>40051</v>
      </c>
      <c r="B1045">
        <v>1.427</v>
      </c>
      <c r="C1045">
        <f t="shared" si="80"/>
        <v>-0.377702064744107</v>
      </c>
      <c r="D1045">
        <f t="shared" si="81"/>
        <v>0.379054028393084</v>
      </c>
      <c r="E1045">
        <f t="shared" si="82"/>
        <v>0.346045247751674</v>
      </c>
      <c r="F1045">
        <f t="shared" si="84"/>
        <v>-0.296860802909387</v>
      </c>
      <c r="G1045">
        <f t="shared" si="83"/>
        <v>-0.324465418294795</v>
      </c>
    </row>
    <row r="1046" spans="1:7">
      <c r="A1046" s="1">
        <v>40052</v>
      </c>
      <c r="B1046">
        <v>1.4268</v>
      </c>
      <c r="C1046">
        <f t="shared" si="80"/>
        <v>-0.0140163992099985</v>
      </c>
      <c r="D1046">
        <f t="shared" si="81"/>
        <v>0.355414510524972</v>
      </c>
      <c r="E1046">
        <f t="shared" si="82"/>
        <v>0.333415475372171</v>
      </c>
      <c r="F1046">
        <f t="shared" si="84"/>
        <v>-0.516958886956184</v>
      </c>
      <c r="G1046">
        <f t="shared" si="83"/>
        <v>-0.548888329885758</v>
      </c>
    </row>
    <row r="1047" spans="1:7">
      <c r="A1047" s="1">
        <v>40053</v>
      </c>
      <c r="B1047">
        <v>1.4364</v>
      </c>
      <c r="C1047">
        <f t="shared" si="80"/>
        <v>0.67058088671912</v>
      </c>
      <c r="D1047">
        <f t="shared" si="81"/>
        <v>0.319892705417156</v>
      </c>
      <c r="E1047">
        <f t="shared" si="82"/>
        <v>0.314420369822182</v>
      </c>
      <c r="F1047">
        <f t="shared" si="84"/>
        <v>0.132973856710395</v>
      </c>
      <c r="G1047">
        <f t="shared" si="83"/>
        <v>0.136579376502409</v>
      </c>
    </row>
    <row r="1048" spans="1:7">
      <c r="A1048" s="1">
        <v>40056</v>
      </c>
      <c r="B1048">
        <v>1.4272</v>
      </c>
      <c r="C1048">
        <f t="shared" si="80"/>
        <v>-0.642550052618279</v>
      </c>
      <c r="D1048">
        <f t="shared" si="81"/>
        <v>0.332871307438741</v>
      </c>
      <c r="E1048">
        <f t="shared" si="82"/>
        <v>0.319039083914501</v>
      </c>
      <c r="F1048">
        <f t="shared" si="84"/>
        <v>0.0701657887507635</v>
      </c>
      <c r="G1048">
        <f t="shared" si="83"/>
        <v>0.0758324462119745</v>
      </c>
    </row>
    <row r="1049" spans="1:7">
      <c r="A1049" s="1">
        <v>40057</v>
      </c>
      <c r="B1049">
        <v>1.4314</v>
      </c>
      <c r="C1049">
        <f t="shared" si="80"/>
        <v>0.29385034787521</v>
      </c>
      <c r="D1049">
        <f t="shared" si="81"/>
        <v>0.340871233706842</v>
      </c>
      <c r="E1049">
        <f t="shared" si="82"/>
        <v>0.321540267385618</v>
      </c>
      <c r="F1049">
        <f t="shared" si="84"/>
        <v>-0.411467405459694</v>
      </c>
      <c r="G1049">
        <f t="shared" si="83"/>
        <v>-0.433043753801615</v>
      </c>
    </row>
    <row r="1050" spans="1:7">
      <c r="A1050" s="1">
        <v>40058</v>
      </c>
      <c r="B1050">
        <v>1.422</v>
      </c>
      <c r="C1050">
        <f t="shared" si="80"/>
        <v>-0.6588654941311</v>
      </c>
      <c r="D1050">
        <f t="shared" si="81"/>
        <v>0.315418913030796</v>
      </c>
      <c r="E1050">
        <f t="shared" si="82"/>
        <v>0.3075652526898</v>
      </c>
      <c r="F1050">
        <f t="shared" si="84"/>
        <v>0.111211590694213</v>
      </c>
      <c r="G1050">
        <f t="shared" si="83"/>
        <v>0.116175979212802</v>
      </c>
    </row>
    <row r="1051" spans="1:7">
      <c r="A1051" s="1">
        <v>40059</v>
      </c>
      <c r="B1051">
        <v>1.4335</v>
      </c>
      <c r="C1051">
        <f t="shared" si="80"/>
        <v>0.805467496023833</v>
      </c>
      <c r="D1051">
        <f t="shared" si="81"/>
        <v>0.327287395663378</v>
      </c>
      <c r="E1051">
        <f t="shared" si="82"/>
        <v>0.311816524496243</v>
      </c>
      <c r="F1051">
        <f t="shared" si="84"/>
        <v>0.432685711417104</v>
      </c>
      <c r="G1051">
        <f t="shared" si="83"/>
        <v>0.457649762303582</v>
      </c>
    </row>
    <row r="1052" spans="1:7">
      <c r="A1052" s="1">
        <v>40060</v>
      </c>
      <c r="B1052">
        <v>1.4262</v>
      </c>
      <c r="C1052">
        <f t="shared" si="80"/>
        <v>-0.51054417292213</v>
      </c>
      <c r="D1052">
        <f t="shared" si="81"/>
        <v>0.359436444812131</v>
      </c>
      <c r="E1052">
        <f t="shared" si="82"/>
        <v>0.326546427384014</v>
      </c>
      <c r="F1052">
        <f t="shared" si="84"/>
        <v>-0.149020021684416</v>
      </c>
      <c r="G1052">
        <f t="shared" si="83"/>
        <v>-0.160482393466678</v>
      </c>
    </row>
    <row r="1053" spans="1:7">
      <c r="A1053" s="1">
        <v>40063</v>
      </c>
      <c r="B1053">
        <v>1.433</v>
      </c>
      <c r="C1053">
        <f t="shared" si="80"/>
        <v>0.475658423396881</v>
      </c>
      <c r="D1053">
        <f t="shared" si="81"/>
        <v>0.349558335581392</v>
      </c>
      <c r="E1053">
        <f t="shared" si="82"/>
        <v>0.32098640936621</v>
      </c>
      <c r="F1053">
        <f t="shared" si="84"/>
        <v>-0.201918406761212</v>
      </c>
      <c r="G1053">
        <f t="shared" si="83"/>
        <v>-0.215747538455168</v>
      </c>
    </row>
    <row r="1054" spans="1:7">
      <c r="A1054" s="1">
        <v>40064</v>
      </c>
      <c r="B1054">
        <v>1.4473</v>
      </c>
      <c r="C1054">
        <f t="shared" si="80"/>
        <v>0.992960281538698</v>
      </c>
      <c r="D1054">
        <f t="shared" si="81"/>
        <v>0.337227595598093</v>
      </c>
      <c r="E1054">
        <f t="shared" si="82"/>
        <v>0.314039771591658</v>
      </c>
      <c r="F1054">
        <f t="shared" si="84"/>
        <v>0.918377781514209</v>
      </c>
      <c r="G1054">
        <f t="shared" si="83"/>
        <v>0.990699460983394</v>
      </c>
    </row>
    <row r="1055" spans="1:7">
      <c r="A1055" s="1">
        <v>40065</v>
      </c>
      <c r="B1055">
        <v>1.4522</v>
      </c>
      <c r="C1055">
        <f t="shared" si="80"/>
        <v>0.337989630258747</v>
      </c>
      <c r="D1055">
        <f t="shared" si="81"/>
        <v>0.402101848109625</v>
      </c>
      <c r="E1055">
        <f t="shared" si="82"/>
        <v>0.345495891331829</v>
      </c>
      <c r="F1055">
        <f t="shared" si="84"/>
        <v>-0.313475114632784</v>
      </c>
      <c r="G1055">
        <f t="shared" si="83"/>
        <v>-0.366064038601547</v>
      </c>
    </row>
    <row r="1056" spans="1:7">
      <c r="A1056" s="1">
        <v>40066</v>
      </c>
      <c r="B1056">
        <v>1.4545</v>
      </c>
      <c r="C1056">
        <f t="shared" si="80"/>
        <v>0.158255098910994</v>
      </c>
      <c r="D1056">
        <f t="shared" si="81"/>
        <v>0.373315362314907</v>
      </c>
      <c r="E1056">
        <f t="shared" si="82"/>
        <v>0.331477987360041</v>
      </c>
      <c r="F1056">
        <f t="shared" si="84"/>
        <v>-0.459122278682287</v>
      </c>
      <c r="G1056">
        <f t="shared" si="83"/>
        <v>-0.514319653055186</v>
      </c>
    </row>
    <row r="1057" spans="1:7">
      <c r="A1057" s="1">
        <v>40067</v>
      </c>
      <c r="B1057">
        <v>1.4594</v>
      </c>
      <c r="C1057">
        <f t="shared" si="80"/>
        <v>0.336319339626349</v>
      </c>
      <c r="D1057">
        <f t="shared" si="81"/>
        <v>0.338488293716549</v>
      </c>
      <c r="E1057">
        <f t="shared" si="82"/>
        <v>0.313841541935005</v>
      </c>
      <c r="F1057">
        <f t="shared" si="84"/>
        <v>-0.374550743178044</v>
      </c>
      <c r="G1057">
        <f t="shared" si="83"/>
        <v>-0.399230016685806</v>
      </c>
    </row>
    <row r="1058" spans="1:7">
      <c r="A1058" s="1">
        <v>40070</v>
      </c>
      <c r="B1058">
        <v>1.4561</v>
      </c>
      <c r="C1058">
        <f t="shared" si="80"/>
        <v>-0.226376361466094</v>
      </c>
      <c r="D1058">
        <f t="shared" si="81"/>
        <v>0.315950534165565</v>
      </c>
      <c r="E1058">
        <f t="shared" si="82"/>
        <v>0.30166658432924</v>
      </c>
      <c r="F1058">
        <f t="shared" si="84"/>
        <v>-0.494986262858167</v>
      </c>
      <c r="G1058">
        <f t="shared" si="83"/>
        <v>-0.514277877698194</v>
      </c>
    </row>
    <row r="1059" spans="1:7">
      <c r="A1059" s="1">
        <v>40071</v>
      </c>
      <c r="B1059">
        <v>1.4611</v>
      </c>
      <c r="C1059">
        <f t="shared" si="80"/>
        <v>0.342794796118003</v>
      </c>
      <c r="D1059">
        <f t="shared" si="81"/>
        <v>0.289480106452071</v>
      </c>
      <c r="E1059">
        <f t="shared" si="82"/>
        <v>0.287128902121017</v>
      </c>
      <c r="F1059">
        <f t="shared" si="84"/>
        <v>-0.416870019697149</v>
      </c>
      <c r="G1059">
        <f t="shared" si="83"/>
        <v>-0.419285674660608</v>
      </c>
    </row>
    <row r="1060" spans="1:7">
      <c r="A1060" s="1">
        <v>40072</v>
      </c>
      <c r="B1060">
        <v>1.4671</v>
      </c>
      <c r="C1060">
        <f t="shared" si="80"/>
        <v>0.409808646755961</v>
      </c>
      <c r="D1060">
        <f t="shared" si="81"/>
        <v>0.272282923031422</v>
      </c>
      <c r="E1060">
        <f t="shared" si="82"/>
        <v>0.276776581606035</v>
      </c>
      <c r="F1060">
        <f t="shared" si="84"/>
        <v>-0.342058597079363</v>
      </c>
      <c r="G1060">
        <f t="shared" si="83"/>
        <v>-0.338881188316718</v>
      </c>
    </row>
    <row r="1061" spans="1:7">
      <c r="A1061" s="1">
        <v>40073</v>
      </c>
      <c r="B1061">
        <v>1.4712</v>
      </c>
      <c r="C1061">
        <f t="shared" si="80"/>
        <v>0.279073114451309</v>
      </c>
      <c r="D1061">
        <f t="shared" si="81"/>
        <v>0.261848943423875</v>
      </c>
      <c r="E1061">
        <f t="shared" si="82"/>
        <v>0.269567143057471</v>
      </c>
      <c r="F1061">
        <f t="shared" si="84"/>
        <v>-0.521278609233296</v>
      </c>
      <c r="G1061">
        <f t="shared" si="83"/>
        <v>-0.511011738723253</v>
      </c>
    </row>
    <row r="1062" spans="1:7">
      <c r="A1062" s="1">
        <v>40074</v>
      </c>
      <c r="B1062">
        <v>1.4705</v>
      </c>
      <c r="C1062">
        <f t="shared" si="80"/>
        <v>-0.0475915296061673</v>
      </c>
      <c r="D1062">
        <f t="shared" si="81"/>
        <v>0.243452229402443</v>
      </c>
      <c r="E1062">
        <f t="shared" si="82"/>
        <v>0.2582872046345</v>
      </c>
      <c r="F1062">
        <f t="shared" si="84"/>
        <v>-0.701765527902978</v>
      </c>
      <c r="G1062">
        <f t="shared" si="83"/>
        <v>-0.672456994217508</v>
      </c>
    </row>
    <row r="1063" spans="1:7">
      <c r="A1063" s="1">
        <v>40077</v>
      </c>
      <c r="B1063">
        <v>1.4658</v>
      </c>
      <c r="C1063">
        <f t="shared" si="80"/>
        <v>-0.320131050229985</v>
      </c>
      <c r="D1063">
        <f t="shared" si="81"/>
        <v>0.219333501831224</v>
      </c>
      <c r="E1063">
        <f t="shared" si="82"/>
        <v>0.243903220040943</v>
      </c>
      <c r="F1063">
        <f t="shared" si="84"/>
        <v>-0.524955226015882</v>
      </c>
      <c r="G1063">
        <f t="shared" si="83"/>
        <v>-0.495400585412599</v>
      </c>
    </row>
    <row r="1064" spans="1:7">
      <c r="A1064" s="1">
        <v>40078</v>
      </c>
      <c r="B1064">
        <v>1.478</v>
      </c>
      <c r="C1064">
        <f t="shared" si="80"/>
        <v>0.828865401639721</v>
      </c>
      <c r="D1064">
        <f t="shared" si="81"/>
        <v>0.207648540580237</v>
      </c>
      <c r="E1064">
        <f t="shared" si="82"/>
        <v>0.235393221304554</v>
      </c>
      <c r="F1064">
        <f t="shared" si="84"/>
        <v>0.868326309644907</v>
      </c>
      <c r="G1064">
        <f t="shared" si="83"/>
        <v>0.736049356647104</v>
      </c>
    </row>
    <row r="1065" spans="1:7">
      <c r="A1065" s="1">
        <v>40079</v>
      </c>
      <c r="B1065">
        <v>1.4783</v>
      </c>
      <c r="C1065">
        <f t="shared" si="80"/>
        <v>0.020295639889707</v>
      </c>
      <c r="D1065">
        <f t="shared" si="81"/>
        <v>0.255585471925751</v>
      </c>
      <c r="E1065">
        <f t="shared" si="82"/>
        <v>0.256620520728049</v>
      </c>
      <c r="F1065">
        <f t="shared" si="84"/>
        <v>-0.681293376194226</v>
      </c>
      <c r="G1065">
        <f t="shared" si="83"/>
        <v>-0.679275856955727</v>
      </c>
    </row>
    <row r="1066" spans="1:7">
      <c r="A1066" s="1">
        <v>40080</v>
      </c>
      <c r="B1066">
        <v>1.4768</v>
      </c>
      <c r="C1066">
        <f t="shared" si="80"/>
        <v>-0.101519415845657</v>
      </c>
      <c r="D1066">
        <f t="shared" si="81"/>
        <v>0.230068116033029</v>
      </c>
      <c r="E1066">
        <f t="shared" si="82"/>
        <v>0.242243885134293</v>
      </c>
      <c r="F1066">
        <f t="shared" si="84"/>
        <v>-0.712291797206782</v>
      </c>
      <c r="G1066">
        <f t="shared" si="83"/>
        <v>-0.687632788603369</v>
      </c>
    </row>
    <row r="1067" spans="1:7">
      <c r="A1067" s="1">
        <v>40081</v>
      </c>
      <c r="B1067">
        <v>1.467</v>
      </c>
      <c r="C1067">
        <f t="shared" si="80"/>
        <v>-0.665808560560591</v>
      </c>
      <c r="D1067">
        <f t="shared" si="81"/>
        <v>0.208091923609091</v>
      </c>
      <c r="E1067">
        <f t="shared" si="82"/>
        <v>0.229224561615918</v>
      </c>
      <c r="F1067">
        <f t="shared" si="84"/>
        <v>0.280269084279648</v>
      </c>
      <c r="G1067">
        <f t="shared" si="83"/>
        <v>0.230431413824914</v>
      </c>
    </row>
    <row r="1068" spans="1:7">
      <c r="A1068" s="1">
        <v>40084</v>
      </c>
      <c r="B1068">
        <v>1.465</v>
      </c>
      <c r="C1068">
        <f t="shared" si="80"/>
        <v>-0.136425669181408</v>
      </c>
      <c r="D1068">
        <f t="shared" si="81"/>
        <v>0.231612835179758</v>
      </c>
      <c r="E1068">
        <f t="shared" si="82"/>
        <v>0.238636139884751</v>
      </c>
      <c r="F1068">
        <f t="shared" si="84"/>
        <v>-0.691165016587076</v>
      </c>
      <c r="G1068">
        <f t="shared" si="83"/>
        <v>-0.677411126278257</v>
      </c>
    </row>
    <row r="1069" spans="1:7">
      <c r="A1069" s="1">
        <v>40085</v>
      </c>
      <c r="B1069">
        <v>1.4549</v>
      </c>
      <c r="C1069">
        <f t="shared" si="80"/>
        <v>-0.691807272982471</v>
      </c>
      <c r="D1069">
        <f t="shared" si="81"/>
        <v>0.210312747982942</v>
      </c>
      <c r="E1069">
        <f t="shared" si="82"/>
        <v>0.226248569652246</v>
      </c>
      <c r="F1069">
        <f t="shared" si="84"/>
        <v>0.358243065570613</v>
      </c>
      <c r="G1069">
        <f t="shared" si="83"/>
        <v>0.314619775114764</v>
      </c>
    </row>
    <row r="1070" spans="1:7">
      <c r="A1070" s="1">
        <v>40086</v>
      </c>
      <c r="B1070">
        <v>1.4643</v>
      </c>
      <c r="C1070">
        <f t="shared" si="80"/>
        <v>0.644014283986838</v>
      </c>
      <c r="D1070">
        <f t="shared" si="81"/>
        <v>0.237141203479792</v>
      </c>
      <c r="E1070">
        <f t="shared" si="82"/>
        <v>0.237603520620683</v>
      </c>
      <c r="F1070">
        <f t="shared" si="84"/>
        <v>0.154938502468892</v>
      </c>
      <c r="G1070">
        <f t="shared" si="83"/>
        <v>0.154210789505021</v>
      </c>
    </row>
    <row r="1071" spans="1:7">
      <c r="A1071" s="1">
        <v>40087</v>
      </c>
      <c r="B1071">
        <v>1.4539</v>
      </c>
      <c r="C1071">
        <f t="shared" si="80"/>
        <v>-0.712771162383153</v>
      </c>
      <c r="D1071">
        <f t="shared" si="81"/>
        <v>0.254902522929721</v>
      </c>
      <c r="E1071">
        <f t="shared" si="82"/>
        <v>0.245085029282396</v>
      </c>
      <c r="F1071">
        <f t="shared" si="84"/>
        <v>0.313106122174011</v>
      </c>
      <c r="G1071">
        <f t="shared" si="83"/>
        <v>0.333387149830556</v>
      </c>
    </row>
    <row r="1072" spans="1:7">
      <c r="A1072" s="1">
        <v>40088</v>
      </c>
      <c r="B1072">
        <v>1.4537</v>
      </c>
      <c r="C1072">
        <f t="shared" si="80"/>
        <v>-0.0137570505100692</v>
      </c>
      <c r="D1072">
        <f t="shared" si="81"/>
        <v>0.280216543629252</v>
      </c>
      <c r="E1072">
        <f t="shared" si="82"/>
        <v>0.256782064021704</v>
      </c>
      <c r="F1072">
        <f t="shared" si="84"/>
        <v>-0.635758605540755</v>
      </c>
      <c r="G1072">
        <f t="shared" si="83"/>
        <v>-0.679395261189419</v>
      </c>
    </row>
    <row r="1073" spans="1:7">
      <c r="A1073" s="1">
        <v>40091</v>
      </c>
      <c r="B1073">
        <v>1.4616</v>
      </c>
      <c r="C1073">
        <f t="shared" si="80"/>
        <v>0.54196956315177</v>
      </c>
      <c r="D1073">
        <f t="shared" si="81"/>
        <v>0.2522138149102</v>
      </c>
      <c r="E1073">
        <f t="shared" si="82"/>
        <v>0.242384603002338</v>
      </c>
      <c r="F1073">
        <f t="shared" si="84"/>
        <v>-0.106433491728329</v>
      </c>
      <c r="G1073">
        <f t="shared" si="83"/>
        <v>-0.10269549471268</v>
      </c>
    </row>
    <row r="1074" spans="1:7">
      <c r="A1074" s="1">
        <v>40092</v>
      </c>
      <c r="B1074">
        <v>1.4722</v>
      </c>
      <c r="C1074">
        <f t="shared" si="80"/>
        <v>0.722615456080858</v>
      </c>
      <c r="D1074">
        <f t="shared" si="81"/>
        <v>0.256365534157472</v>
      </c>
      <c r="E1074">
        <f t="shared" si="82"/>
        <v>0.243528077191344</v>
      </c>
      <c r="F1074">
        <f t="shared" si="84"/>
        <v>0.337839675998997</v>
      </c>
      <c r="G1074">
        <f t="shared" si="83"/>
        <v>0.365838880648269</v>
      </c>
    </row>
    <row r="1075" spans="1:7">
      <c r="A1075" s="1">
        <v>40093</v>
      </c>
      <c r="B1075">
        <v>1.4694</v>
      </c>
      <c r="C1075">
        <f t="shared" si="80"/>
        <v>-0.190372643842842</v>
      </c>
      <c r="D1075">
        <f t="shared" si="81"/>
        <v>0.28294629047842</v>
      </c>
      <c r="E1075">
        <f t="shared" si="82"/>
        <v>0.256025047428211</v>
      </c>
      <c r="F1075">
        <f t="shared" si="84"/>
        <v>-0.56720558926186</v>
      </c>
      <c r="G1075">
        <f t="shared" si="83"/>
        <v>-0.61046226856686</v>
      </c>
    </row>
    <row r="1076" spans="1:7">
      <c r="A1076" s="1">
        <v>40094</v>
      </c>
      <c r="B1076">
        <v>1.4763</v>
      </c>
      <c r="C1076">
        <f t="shared" si="80"/>
        <v>0.468480335386513</v>
      </c>
      <c r="D1076">
        <f t="shared" si="81"/>
        <v>0.258275835782949</v>
      </c>
      <c r="E1076">
        <f t="shared" si="82"/>
        <v>0.243475631758704</v>
      </c>
      <c r="F1076">
        <f t="shared" si="84"/>
        <v>-0.251980952800853</v>
      </c>
      <c r="G1076">
        <f t="shared" si="83"/>
        <v>-0.255659165754809</v>
      </c>
    </row>
    <row r="1077" spans="1:7">
      <c r="A1077" s="1">
        <v>40095</v>
      </c>
      <c r="B1077">
        <v>1.475</v>
      </c>
      <c r="C1077">
        <f t="shared" si="80"/>
        <v>-0.088096776612197</v>
      </c>
      <c r="D1077">
        <f t="shared" si="81"/>
        <v>0.25439563466904</v>
      </c>
      <c r="E1077">
        <f t="shared" si="82"/>
        <v>0.240840785085374</v>
      </c>
      <c r="F1077">
        <f t="shared" si="84"/>
        <v>-0.669178421365134</v>
      </c>
      <c r="G1077">
        <f t="shared" si="83"/>
        <v>-0.695697211779666</v>
      </c>
    </row>
    <row r="1078" spans="1:7">
      <c r="A1078" s="1">
        <v>40098</v>
      </c>
      <c r="B1078">
        <v>1.4765</v>
      </c>
      <c r="C1078">
        <f t="shared" si="80"/>
        <v>0.101643241005703</v>
      </c>
      <c r="D1078">
        <f t="shared" si="81"/>
        <v>0.229732175407082</v>
      </c>
      <c r="E1078">
        <f t="shared" si="82"/>
        <v>0.227778390082725</v>
      </c>
      <c r="F1078">
        <f t="shared" si="84"/>
        <v>-0.712934915015956</v>
      </c>
      <c r="G1078">
        <f t="shared" si="83"/>
        <v>-0.717012539223324</v>
      </c>
    </row>
    <row r="1079" spans="1:7">
      <c r="A1079" s="1">
        <v>40099</v>
      </c>
      <c r="B1079">
        <v>1.4864</v>
      </c>
      <c r="C1079">
        <f t="shared" si="80"/>
        <v>0.668266687559669</v>
      </c>
      <c r="D1079">
        <f t="shared" si="81"/>
        <v>0.207792092710588</v>
      </c>
      <c r="E1079">
        <f t="shared" si="82"/>
        <v>0.215628254099869</v>
      </c>
      <c r="F1079">
        <f t="shared" si="84"/>
        <v>0.288975973385701</v>
      </c>
      <c r="G1079">
        <f t="shared" si="83"/>
        <v>0.268433346451334</v>
      </c>
    </row>
    <row r="1080" spans="1:7">
      <c r="A1080" s="1">
        <v>40100</v>
      </c>
      <c r="B1080">
        <v>1.4881</v>
      </c>
      <c r="C1080">
        <f t="shared" si="80"/>
        <v>0.11430493764306</v>
      </c>
      <c r="D1080">
        <f t="shared" si="81"/>
        <v>0.231670920009727</v>
      </c>
      <c r="E1080">
        <f t="shared" si="82"/>
        <v>0.226019577138975</v>
      </c>
      <c r="F1080">
        <f t="shared" si="84"/>
        <v>-0.703020021769805</v>
      </c>
      <c r="G1080">
        <f t="shared" si="83"/>
        <v>-0.714663097032129</v>
      </c>
    </row>
    <row r="1081" spans="1:7">
      <c r="A1081" s="1">
        <v>40101</v>
      </c>
      <c r="B1081">
        <v>1.4864</v>
      </c>
      <c r="C1081">
        <f t="shared" si="80"/>
        <v>-0.114304937643058</v>
      </c>
      <c r="D1081">
        <f t="shared" si="81"/>
        <v>0.209810389885712</v>
      </c>
      <c r="E1081">
        <f t="shared" si="82"/>
        <v>0.214111683449116</v>
      </c>
      <c r="F1081">
        <f t="shared" si="84"/>
        <v>-0.749638801081202</v>
      </c>
      <c r="G1081">
        <f t="shared" si="83"/>
        <v>-0.740117534109696</v>
      </c>
    </row>
    <row r="1082" spans="1:7">
      <c r="A1082" s="1">
        <v>40102</v>
      </c>
      <c r="B1082">
        <v>1.4869</v>
      </c>
      <c r="C1082">
        <f t="shared" si="80"/>
        <v>0.0336326643603548</v>
      </c>
      <c r="D1082">
        <f t="shared" si="81"/>
        <v>0.190135912774099</v>
      </c>
      <c r="E1082">
        <f t="shared" si="82"/>
        <v>0.202918263380648</v>
      </c>
      <c r="F1082">
        <f t="shared" si="84"/>
        <v>-0.827033467289694</v>
      </c>
      <c r="G1082">
        <f t="shared" si="83"/>
        <v>-0.794688791179777</v>
      </c>
    </row>
    <row r="1083" spans="1:7">
      <c r="A1083" s="1">
        <v>40105</v>
      </c>
      <c r="B1083">
        <v>1.4918</v>
      </c>
      <c r="C1083">
        <f t="shared" si="80"/>
        <v>0.329002881788531</v>
      </c>
      <c r="D1083">
        <f t="shared" si="81"/>
        <v>0.171235437107887</v>
      </c>
      <c r="E1083">
        <f t="shared" si="82"/>
        <v>0.191799725383408</v>
      </c>
      <c r="F1083">
        <f t="shared" si="84"/>
        <v>-0.566293391164762</v>
      </c>
      <c r="G1083">
        <f t="shared" si="83"/>
        <v>-0.543474894060779</v>
      </c>
    </row>
    <row r="1084" spans="1:7">
      <c r="A1084" s="1">
        <v>40106</v>
      </c>
      <c r="B1084">
        <v>1.4971</v>
      </c>
      <c r="C1084">
        <f t="shared" si="80"/>
        <v>0.354645893472809</v>
      </c>
      <c r="D1084">
        <f t="shared" si="81"/>
        <v>0.164936183019614</v>
      </c>
      <c r="E1084">
        <f t="shared" si="82"/>
        <v>0.186703886671661</v>
      </c>
      <c r="F1084">
        <f t="shared" si="84"/>
        <v>-0.51981840345338</v>
      </c>
      <c r="G1084">
        <f t="shared" si="83"/>
        <v>-0.502289000883758</v>
      </c>
    </row>
    <row r="1085" spans="1:7">
      <c r="A1085" s="1">
        <v>40107</v>
      </c>
      <c r="B1085">
        <v>1.4921</v>
      </c>
      <c r="C1085">
        <f t="shared" si="80"/>
        <v>-0.334537980941511</v>
      </c>
      <c r="D1085">
        <f t="shared" si="81"/>
        <v>0.161019935693366</v>
      </c>
      <c r="E1085">
        <f t="shared" si="82"/>
        <v>0.182790338959218</v>
      </c>
      <c r="F1085">
        <f t="shared" si="84"/>
        <v>-0.565592416619416</v>
      </c>
      <c r="G1085">
        <f t="shared" si="83"/>
        <v>-0.543576511050979</v>
      </c>
    </row>
    <row r="1086" spans="1:7">
      <c r="A1086" s="1">
        <v>40108</v>
      </c>
      <c r="B1086">
        <v>1.5</v>
      </c>
      <c r="C1086">
        <f t="shared" si="80"/>
        <v>0.528058444392542</v>
      </c>
      <c r="D1086">
        <f t="shared" si="81"/>
        <v>0.156109508193271</v>
      </c>
      <c r="E1086">
        <f t="shared" si="82"/>
        <v>0.178418701656286</v>
      </c>
      <c r="F1086">
        <f t="shared" si="84"/>
        <v>-0.0354894278909119</v>
      </c>
      <c r="G1086">
        <f t="shared" si="83"/>
        <v>-0.0803747596253981</v>
      </c>
    </row>
    <row r="1087" spans="1:7">
      <c r="A1087" s="1">
        <v>40109</v>
      </c>
      <c r="B1087">
        <v>1.502</v>
      </c>
      <c r="C1087">
        <f t="shared" si="80"/>
        <v>0.133244523377869</v>
      </c>
      <c r="D1087">
        <f t="shared" si="81"/>
        <v>0.168383129443371</v>
      </c>
      <c r="E1087">
        <f t="shared" si="82"/>
        <v>0.182655865591622</v>
      </c>
      <c r="F1087">
        <f t="shared" si="84"/>
        <v>-0.83803731774822</v>
      </c>
      <c r="G1087">
        <f t="shared" si="83"/>
        <v>-0.801475835211938</v>
      </c>
    </row>
    <row r="1088" spans="1:7">
      <c r="A1088" s="1">
        <v>40112</v>
      </c>
      <c r="B1088">
        <v>1.5019</v>
      </c>
      <c r="C1088">
        <f t="shared" si="80"/>
        <v>-0.00665801125450123</v>
      </c>
      <c r="D1088">
        <f t="shared" si="81"/>
        <v>0.153320226800054</v>
      </c>
      <c r="E1088">
        <f t="shared" si="82"/>
        <v>0.173584218806635</v>
      </c>
      <c r="F1088">
        <f t="shared" si="84"/>
        <v>-0.937468715790537</v>
      </c>
      <c r="G1088">
        <f t="shared" si="83"/>
        <v>-0.875418505563185</v>
      </c>
    </row>
    <row r="1089" spans="1:7">
      <c r="A1089" s="1">
        <v>40113</v>
      </c>
      <c r="B1089">
        <v>1.4874</v>
      </c>
      <c r="C1089">
        <f t="shared" si="80"/>
        <v>-0.970134394233525</v>
      </c>
      <c r="D1089">
        <f t="shared" si="81"/>
        <v>0.137992637031435</v>
      </c>
      <c r="E1089">
        <f t="shared" si="82"/>
        <v>0.16417138213393</v>
      </c>
      <c r="F1089">
        <f t="shared" si="84"/>
        <v>2.41990716640089</v>
      </c>
      <c r="G1089">
        <f t="shared" si="83"/>
        <v>1.9629748946164</v>
      </c>
    </row>
    <row r="1090" spans="1:7">
      <c r="A1090" s="1">
        <v>40114</v>
      </c>
      <c r="B1090">
        <v>1.4785</v>
      </c>
      <c r="C1090">
        <f t="shared" si="80"/>
        <v>-0.600156897666796</v>
      </c>
      <c r="D1090">
        <f t="shared" si="81"/>
        <v>0.218309447615776</v>
      </c>
      <c r="E1090">
        <f t="shared" si="82"/>
        <v>0.202379136349637</v>
      </c>
      <c r="F1090">
        <f t="shared" si="84"/>
        <v>0.0640280869429356</v>
      </c>
      <c r="G1090">
        <f t="shared" si="83"/>
        <v>0.0910787521129831</v>
      </c>
    </row>
    <row r="1091" spans="1:7">
      <c r="A1091" s="1">
        <v>40115</v>
      </c>
      <c r="B1091">
        <v>1.4788</v>
      </c>
      <c r="C1091">
        <f t="shared" si="80"/>
        <v>0.0202887769944988</v>
      </c>
      <c r="D1091">
        <f t="shared" si="81"/>
        <v>0.232497333035902</v>
      </c>
      <c r="E1091">
        <f t="shared" si="82"/>
        <v>0.20924580325951</v>
      </c>
      <c r="F1091">
        <f t="shared" si="84"/>
        <v>-0.728553016838923</v>
      </c>
      <c r="G1091">
        <f t="shared" si="83"/>
        <v>-0.781139198318086</v>
      </c>
    </row>
    <row r="1092" spans="1:7">
      <c r="A1092" s="1">
        <v>40116</v>
      </c>
      <c r="B1092">
        <v>1.48</v>
      </c>
      <c r="C1092">
        <f t="shared" ref="C1092:C1155" si="85">100*LN(B1092/B1091)</f>
        <v>0.0811139695683937</v>
      </c>
      <c r="D1092">
        <f t="shared" si="81"/>
        <v>0.209288763179505</v>
      </c>
      <c r="E1092">
        <f t="shared" si="82"/>
        <v>0.197711636787536</v>
      </c>
      <c r="F1092">
        <f t="shared" si="84"/>
        <v>-0.766301513507508</v>
      </c>
      <c r="G1092">
        <f t="shared" si="83"/>
        <v>-0.79383377350865</v>
      </c>
    </row>
    <row r="1093" spans="1:7">
      <c r="A1093" s="1">
        <v>40119</v>
      </c>
      <c r="B1093">
        <v>1.4772</v>
      </c>
      <c r="C1093">
        <f t="shared" si="85"/>
        <v>-0.189368377975259</v>
      </c>
      <c r="D1093">
        <f t="shared" ref="D1093:D1156" si="86">$J$1*D1092+(1-$J$1)*C1092^2</f>
        <v>0.189017834467469</v>
      </c>
      <c r="E1093">
        <f t="shared" ref="E1093:E1156" si="87">$K$1+$K$2*C1092^2+$K$3*E1092</f>
        <v>0.187177912383241</v>
      </c>
      <c r="F1093">
        <f t="shared" si="84"/>
        <v>-0.738097167264093</v>
      </c>
      <c r="G1093">
        <f t="shared" ref="G1093:G1156" si="88">0.5*(LN(E1093)+C1093^2/E1093)</f>
        <v>-0.742055616813375</v>
      </c>
    </row>
    <row r="1094" spans="1:7">
      <c r="A1094" s="1">
        <v>40120</v>
      </c>
      <c r="B1094">
        <v>1.4658</v>
      </c>
      <c r="C1094">
        <f t="shared" si="85"/>
        <v>-0.774723548665843</v>
      </c>
      <c r="D1094">
        <f t="shared" si="86"/>
        <v>0.17370208927842</v>
      </c>
      <c r="E1094">
        <f t="shared" si="87"/>
        <v>0.178740256769096</v>
      </c>
      <c r="F1094">
        <f t="shared" si="84"/>
        <v>0.852453999073884</v>
      </c>
      <c r="G1094">
        <f t="shared" si="88"/>
        <v>0.818052256640013</v>
      </c>
    </row>
    <row r="1095" spans="1:7">
      <c r="A1095" s="1">
        <v>40121</v>
      </c>
      <c r="B1095">
        <v>1.4761</v>
      </c>
      <c r="C1095">
        <f t="shared" si="85"/>
        <v>0.700230605120125</v>
      </c>
      <c r="D1095">
        <f t="shared" si="86"/>
        <v>0.216351538036318</v>
      </c>
      <c r="E1095">
        <f t="shared" si="87"/>
        <v>0.19902567020582</v>
      </c>
      <c r="F1095">
        <f t="shared" ref="F1095:F1158" si="89">0.5*(LN(D1095)+C1095^2/D1095)</f>
        <v>0.367737150436898</v>
      </c>
      <c r="G1095">
        <f t="shared" si="88"/>
        <v>0.424647454674572</v>
      </c>
    </row>
    <row r="1096" spans="1:7">
      <c r="A1096" s="1">
        <v>40122</v>
      </c>
      <c r="B1096">
        <v>1.4867</v>
      </c>
      <c r="C1096">
        <f t="shared" si="85"/>
        <v>0.715542407635408</v>
      </c>
      <c r="D1096">
        <f t="shared" si="86"/>
        <v>0.243748674267375</v>
      </c>
      <c r="E1096">
        <f t="shared" si="87"/>
        <v>0.212600275010815</v>
      </c>
      <c r="F1096">
        <f t="shared" si="89"/>
        <v>0.344455240836757</v>
      </c>
      <c r="G1096">
        <f t="shared" si="88"/>
        <v>0.42996911517578</v>
      </c>
    </row>
    <row r="1097" spans="1:7">
      <c r="A1097" s="1">
        <v>40123</v>
      </c>
      <c r="B1097">
        <v>1.4862</v>
      </c>
      <c r="C1097">
        <f t="shared" si="85"/>
        <v>-0.0336371895936241</v>
      </c>
      <c r="D1097">
        <f t="shared" si="86"/>
        <v>0.270573900553105</v>
      </c>
      <c r="E1097">
        <f t="shared" si="87"/>
        <v>0.2264443053664</v>
      </c>
      <c r="F1097">
        <f t="shared" si="89"/>
        <v>-0.651514156052976</v>
      </c>
      <c r="G1097">
        <f t="shared" si="88"/>
        <v>-0.740129808690478</v>
      </c>
    </row>
    <row r="1098" spans="1:7">
      <c r="A1098" s="1">
        <v>40126</v>
      </c>
      <c r="B1098">
        <v>1.4984</v>
      </c>
      <c r="C1098">
        <f t="shared" si="85"/>
        <v>0.817534540650996</v>
      </c>
      <c r="D1098">
        <f t="shared" si="86"/>
        <v>0.243629656550171</v>
      </c>
      <c r="E1098">
        <f t="shared" si="87"/>
        <v>0.213914220070604</v>
      </c>
      <c r="F1098">
        <f t="shared" si="89"/>
        <v>0.665624678193887</v>
      </c>
      <c r="G1098">
        <f t="shared" si="88"/>
        <v>0.791131261726254</v>
      </c>
    </row>
    <row r="1099" spans="1:7">
      <c r="A1099" s="1">
        <v>40127</v>
      </c>
      <c r="B1099">
        <v>1.4966</v>
      </c>
      <c r="C1099">
        <f t="shared" si="85"/>
        <v>-0.120200348362056</v>
      </c>
      <c r="D1099">
        <f t="shared" si="86"/>
        <v>0.286102963410897</v>
      </c>
      <c r="E1099">
        <f t="shared" si="87"/>
        <v>0.23549750312424</v>
      </c>
      <c r="F1099">
        <f t="shared" si="89"/>
        <v>-0.600451893167256</v>
      </c>
      <c r="G1099">
        <f t="shared" si="88"/>
        <v>-0.692351736808646</v>
      </c>
    </row>
    <row r="1100" spans="1:7">
      <c r="A1100" s="1">
        <v>40128</v>
      </c>
      <c r="B1100">
        <v>1.5037</v>
      </c>
      <c r="C1100">
        <f t="shared" si="85"/>
        <v>0.473286888201624</v>
      </c>
      <c r="D1100">
        <f t="shared" si="86"/>
        <v>0.258937479444443</v>
      </c>
      <c r="E1100">
        <f t="shared" si="87"/>
        <v>0.223090059124103</v>
      </c>
      <c r="F1100">
        <f t="shared" si="89"/>
        <v>-0.243046551799864</v>
      </c>
      <c r="G1100">
        <f t="shared" si="88"/>
        <v>-0.248049393141352</v>
      </c>
    </row>
    <row r="1101" spans="1:7">
      <c r="A1101" s="1">
        <v>40129</v>
      </c>
      <c r="B1101">
        <v>1.4922</v>
      </c>
      <c r="C1101">
        <f t="shared" si="85"/>
        <v>-0.767719649086045</v>
      </c>
      <c r="D1101">
        <f t="shared" si="86"/>
        <v>0.255443779354357</v>
      </c>
      <c r="E1101">
        <f t="shared" si="87"/>
        <v>0.221904679503836</v>
      </c>
      <c r="F1101">
        <f t="shared" si="89"/>
        <v>0.471289245219795</v>
      </c>
      <c r="G1101">
        <f t="shared" si="88"/>
        <v>0.575279286015777</v>
      </c>
    </row>
    <row r="1102" spans="1:7">
      <c r="A1102" s="1">
        <v>40130</v>
      </c>
      <c r="B1102">
        <v>1.4868</v>
      </c>
      <c r="C1102">
        <f t="shared" si="85"/>
        <v>-0.362538161431697</v>
      </c>
      <c r="D1102">
        <f t="shared" si="86"/>
        <v>0.288838747378201</v>
      </c>
      <c r="E1102">
        <f t="shared" si="87"/>
        <v>0.239060071713246</v>
      </c>
      <c r="F1102">
        <f t="shared" si="89"/>
        <v>-0.393422084929376</v>
      </c>
      <c r="G1102">
        <f t="shared" si="88"/>
        <v>-0.440622943942968</v>
      </c>
    </row>
    <row r="1103" spans="1:7">
      <c r="A1103" s="1">
        <v>40133</v>
      </c>
      <c r="B1103">
        <v>1.4965</v>
      </c>
      <c r="C1103">
        <f t="shared" si="85"/>
        <v>0.650288886965667</v>
      </c>
      <c r="D1103">
        <f t="shared" si="86"/>
        <v>0.273098264489808</v>
      </c>
      <c r="E1103">
        <f t="shared" si="87"/>
        <v>0.232288163335165</v>
      </c>
      <c r="F1103">
        <f t="shared" si="89"/>
        <v>0.125257025288258</v>
      </c>
      <c r="G1103">
        <f t="shared" si="88"/>
        <v>0.180351015825389</v>
      </c>
    </row>
    <row r="1104" spans="1:7">
      <c r="A1104" s="1">
        <v>40134</v>
      </c>
      <c r="B1104">
        <v>1.4875</v>
      </c>
      <c r="C1104">
        <f t="shared" si="85"/>
        <v>-0.603218987296875</v>
      </c>
      <c r="D1104">
        <f t="shared" si="86"/>
        <v>0.288076001691932</v>
      </c>
      <c r="E1104">
        <f t="shared" si="87"/>
        <v>0.240494655360607</v>
      </c>
      <c r="F1104">
        <f t="shared" si="89"/>
        <v>0.0092920787305697</v>
      </c>
      <c r="G1104">
        <f t="shared" si="88"/>
        <v>0.0439811339331365</v>
      </c>
    </row>
    <row r="1105" spans="1:7">
      <c r="A1105" s="1">
        <v>40135</v>
      </c>
      <c r="B1105">
        <v>1.4957</v>
      </c>
      <c r="C1105">
        <f t="shared" si="85"/>
        <v>0.549746624549615</v>
      </c>
      <c r="D1105">
        <f t="shared" si="86"/>
        <v>0.295655716186286</v>
      </c>
      <c r="E1105">
        <f t="shared" si="87"/>
        <v>0.245258633370744</v>
      </c>
      <c r="F1105">
        <f t="shared" si="89"/>
        <v>-0.0981762968779887</v>
      </c>
      <c r="G1105">
        <f t="shared" si="88"/>
        <v>-0.086593134810439</v>
      </c>
    </row>
    <row r="1106" spans="1:7">
      <c r="A1106" s="1">
        <v>40136</v>
      </c>
      <c r="B1106">
        <v>1.4863</v>
      </c>
      <c r="C1106">
        <f t="shared" si="85"/>
        <v>-0.630451451043169</v>
      </c>
      <c r="D1106">
        <f t="shared" si="86"/>
        <v>0.296312279688027</v>
      </c>
      <c r="E1106">
        <f t="shared" si="87"/>
        <v>0.246654182928684</v>
      </c>
      <c r="F1106">
        <f t="shared" si="89"/>
        <v>0.0625221209728928</v>
      </c>
      <c r="G1106">
        <f t="shared" si="88"/>
        <v>0.105837251627571</v>
      </c>
    </row>
    <row r="1107" spans="1:7">
      <c r="A1107" s="1">
        <v>40137</v>
      </c>
      <c r="B1107">
        <v>1.4815</v>
      </c>
      <c r="C1107">
        <f t="shared" si="85"/>
        <v>-0.323472214122931</v>
      </c>
      <c r="D1107">
        <f t="shared" si="86"/>
        <v>0.306427954931468</v>
      </c>
      <c r="E1107">
        <f t="shared" si="87"/>
        <v>0.252728383559085</v>
      </c>
      <c r="F1107">
        <f t="shared" si="89"/>
        <v>-0.420654046294247</v>
      </c>
      <c r="G1107">
        <f t="shared" si="88"/>
        <v>-0.48071063179752</v>
      </c>
    </row>
    <row r="1108" spans="1:7">
      <c r="A1108" s="1">
        <v>40140</v>
      </c>
      <c r="B1108">
        <v>1.4968</v>
      </c>
      <c r="C1108">
        <f t="shared" si="85"/>
        <v>1.02744079462598</v>
      </c>
      <c r="D1108">
        <f t="shared" si="86"/>
        <v>0.28624858676928</v>
      </c>
      <c r="E1108">
        <f t="shared" si="87"/>
        <v>0.243796394211019</v>
      </c>
      <c r="F1108">
        <f t="shared" si="89"/>
        <v>1.21846498069338</v>
      </c>
      <c r="G1108">
        <f t="shared" si="88"/>
        <v>1.45928127964797</v>
      </c>
    </row>
    <row r="1109" spans="1:7">
      <c r="A1109" s="1">
        <v>40141</v>
      </c>
      <c r="B1109">
        <v>1.4969</v>
      </c>
      <c r="C1109">
        <f t="shared" si="85"/>
        <v>0.00668069613102586</v>
      </c>
      <c r="D1109">
        <f t="shared" si="86"/>
        <v>0.363187186738519</v>
      </c>
      <c r="E1109">
        <f t="shared" si="87"/>
        <v>0.282950339881441</v>
      </c>
      <c r="F1109">
        <f t="shared" si="89"/>
        <v>-0.50635701135341</v>
      </c>
      <c r="G1109">
        <f t="shared" si="88"/>
        <v>-0.631163068659127</v>
      </c>
    </row>
    <row r="1110" spans="1:7">
      <c r="A1110" s="1">
        <v>40142</v>
      </c>
      <c r="B1110">
        <v>1.5083</v>
      </c>
      <c r="C1110">
        <f t="shared" si="85"/>
        <v>0.758688585301658</v>
      </c>
      <c r="D1110">
        <f t="shared" si="86"/>
        <v>0.326872931234746</v>
      </c>
      <c r="E1110">
        <f t="shared" si="87"/>
        <v>0.266975551073595</v>
      </c>
      <c r="F1110">
        <f t="shared" si="89"/>
        <v>0.321385379175548</v>
      </c>
      <c r="G1110">
        <f t="shared" si="88"/>
        <v>0.41771791094155</v>
      </c>
    </row>
    <row r="1111" spans="1:7">
      <c r="A1111" s="1">
        <v>40143</v>
      </c>
      <c r="B1111">
        <v>1.5071</v>
      </c>
      <c r="C1111">
        <f t="shared" si="85"/>
        <v>-0.0795914348575865</v>
      </c>
      <c r="D1111">
        <f t="shared" si="86"/>
        <v>0.351746475057975</v>
      </c>
      <c r="E1111">
        <f t="shared" si="87"/>
        <v>0.280737436482531</v>
      </c>
      <c r="F1111">
        <f t="shared" si="89"/>
        <v>-0.513417525998966</v>
      </c>
      <c r="G1111">
        <f t="shared" si="88"/>
        <v>-0.623885296024771</v>
      </c>
    </row>
    <row r="1112" spans="1:7">
      <c r="A1112" s="1">
        <v>40144</v>
      </c>
      <c r="B1112">
        <v>1.4918</v>
      </c>
      <c r="C1112">
        <f t="shared" si="85"/>
        <v>-1.02038299045679</v>
      </c>
      <c r="D1112">
        <f t="shared" si="86"/>
        <v>0.317205307202446</v>
      </c>
      <c r="E1112">
        <f t="shared" si="87"/>
        <v>0.265209930118713</v>
      </c>
      <c r="F1112">
        <f t="shared" si="89"/>
        <v>1.06707608053432</v>
      </c>
      <c r="G1112">
        <f t="shared" si="88"/>
        <v>1.29932148952542</v>
      </c>
    </row>
    <row r="1113" spans="1:7">
      <c r="A1113" s="1">
        <v>40147</v>
      </c>
      <c r="B1113">
        <v>1.5023</v>
      </c>
      <c r="C1113">
        <f t="shared" si="85"/>
        <v>0.701382254731505</v>
      </c>
      <c r="D1113">
        <f t="shared" si="86"/>
        <v>0.389602921203555</v>
      </c>
      <c r="E1113">
        <f t="shared" si="87"/>
        <v>0.302356406672267</v>
      </c>
      <c r="F1113">
        <f t="shared" si="89"/>
        <v>0.160017733598144</v>
      </c>
      <c r="G1113">
        <f t="shared" si="88"/>
        <v>0.215430879729617</v>
      </c>
    </row>
    <row r="1114" spans="1:7">
      <c r="A1114" s="1">
        <v>40148</v>
      </c>
      <c r="B1114">
        <v>1.5074</v>
      </c>
      <c r="C1114">
        <f t="shared" si="85"/>
        <v>0.338904534099169</v>
      </c>
      <c r="D1114">
        <f t="shared" si="86"/>
        <v>0.399836335808424</v>
      </c>
      <c r="E1114">
        <f t="shared" si="87"/>
        <v>0.309811875634543</v>
      </c>
      <c r="F1114">
        <f t="shared" si="89"/>
        <v>-0.314720866639721</v>
      </c>
      <c r="G1114">
        <f t="shared" si="88"/>
        <v>-0.400530450521643</v>
      </c>
    </row>
    <row r="1115" spans="1:7">
      <c r="A1115" s="1">
        <v>40149</v>
      </c>
      <c r="B1115">
        <v>1.509</v>
      </c>
      <c r="C1115">
        <f t="shared" si="85"/>
        <v>0.106086735847916</v>
      </c>
      <c r="D1115">
        <f t="shared" si="86"/>
        <v>0.371338330550879</v>
      </c>
      <c r="E1115">
        <f t="shared" si="87"/>
        <v>0.29796597725812</v>
      </c>
      <c r="F1115">
        <f t="shared" si="89"/>
        <v>-0.480167015341624</v>
      </c>
      <c r="G1115">
        <f t="shared" si="88"/>
        <v>-0.586502614522276</v>
      </c>
    </row>
    <row r="1116" spans="1:7">
      <c r="A1116" s="1">
        <v>40150</v>
      </c>
      <c r="B1116">
        <v>1.512</v>
      </c>
      <c r="C1116">
        <f t="shared" si="85"/>
        <v>0.198609797162955</v>
      </c>
      <c r="D1116">
        <f t="shared" si="86"/>
        <v>0.335329937048078</v>
      </c>
      <c r="E1116">
        <f t="shared" si="87"/>
        <v>0.281650738398776</v>
      </c>
      <c r="F1116">
        <f t="shared" si="89"/>
        <v>-0.487503694864475</v>
      </c>
      <c r="G1116">
        <f t="shared" si="88"/>
        <v>-0.563517564343476</v>
      </c>
    </row>
    <row r="1117" spans="1:7">
      <c r="A1117" s="1">
        <v>40151</v>
      </c>
      <c r="B1117">
        <v>1.5068</v>
      </c>
      <c r="C1117">
        <f t="shared" si="85"/>
        <v>-0.344508092159233</v>
      </c>
      <c r="D1117">
        <f t="shared" si="86"/>
        <v>0.305741528496181</v>
      </c>
      <c r="E1117">
        <f t="shared" si="87"/>
        <v>0.267723986671305</v>
      </c>
      <c r="F1117">
        <f t="shared" si="89"/>
        <v>-0.398412570693644</v>
      </c>
      <c r="G1117">
        <f t="shared" si="88"/>
        <v>-0.437242301079492</v>
      </c>
    </row>
    <row r="1118" spans="1:7">
      <c r="A1118" s="1">
        <v>40154</v>
      </c>
      <c r="B1118">
        <v>1.4787</v>
      </c>
      <c r="C1118">
        <f t="shared" si="85"/>
        <v>-1.88248734384442</v>
      </c>
      <c r="D1118">
        <f t="shared" si="86"/>
        <v>0.287035958202883</v>
      </c>
      <c r="E1118">
        <f t="shared" si="87"/>
        <v>0.258594838749186</v>
      </c>
      <c r="F1118">
        <f t="shared" si="89"/>
        <v>5.54894816198836</v>
      </c>
      <c r="G1118">
        <f t="shared" si="88"/>
        <v>6.17570513991311</v>
      </c>
    </row>
    <row r="1119" spans="1:7">
      <c r="A1119" s="1">
        <v>40155</v>
      </c>
      <c r="B1119">
        <v>1.4774</v>
      </c>
      <c r="C1119">
        <f t="shared" si="85"/>
        <v>-0.087953728480435</v>
      </c>
      <c r="D1119">
        <f t="shared" si="86"/>
        <v>0.612708222356038</v>
      </c>
      <c r="E1119">
        <f t="shared" si="87"/>
        <v>0.421267078410957</v>
      </c>
      <c r="F1119">
        <f t="shared" si="89"/>
        <v>-0.238620379403593</v>
      </c>
      <c r="G1119">
        <f t="shared" si="88"/>
        <v>-0.423062472483057</v>
      </c>
    </row>
    <row r="1120" spans="1:7">
      <c r="A1120" s="1">
        <v>40156</v>
      </c>
      <c r="B1120">
        <v>1.4768</v>
      </c>
      <c r="C1120">
        <f t="shared" si="85"/>
        <v>-0.0406201346049737</v>
      </c>
      <c r="D1120">
        <f t="shared" si="86"/>
        <v>0.552210985955795</v>
      </c>
      <c r="E1120">
        <f t="shared" si="87"/>
        <v>0.39737784662398</v>
      </c>
      <c r="F1120">
        <f t="shared" si="89"/>
        <v>-0.295418552441316</v>
      </c>
      <c r="G1120">
        <f t="shared" si="88"/>
        <v>-0.459357744277175</v>
      </c>
    </row>
    <row r="1121" spans="1:7">
      <c r="A1121" s="1">
        <v>40157</v>
      </c>
      <c r="B1121">
        <v>1.473</v>
      </c>
      <c r="C1121">
        <f t="shared" si="85"/>
        <v>-0.25764472859573</v>
      </c>
      <c r="D1121">
        <f t="shared" si="86"/>
        <v>0.497154886893748</v>
      </c>
      <c r="E1121">
        <f t="shared" si="87"/>
        <v>0.374617675593307</v>
      </c>
      <c r="F1121">
        <f t="shared" si="89"/>
        <v>-0.282666139294366</v>
      </c>
      <c r="G1121">
        <f t="shared" si="88"/>
        <v>-0.402326582309667</v>
      </c>
    </row>
    <row r="1122" spans="1:7">
      <c r="A1122" s="1">
        <v>40158</v>
      </c>
      <c r="B1122">
        <v>1.4757</v>
      </c>
      <c r="C1122">
        <f t="shared" si="85"/>
        <v>0.183131600677352</v>
      </c>
      <c r="D1122">
        <f t="shared" si="86"/>
        <v>0.45407747882169</v>
      </c>
      <c r="E1122">
        <f t="shared" si="87"/>
        <v>0.356459655366367</v>
      </c>
      <c r="F1122">
        <f t="shared" si="89"/>
        <v>-0.357814797123213</v>
      </c>
      <c r="G1122">
        <f t="shared" si="88"/>
        <v>-0.468725060884777</v>
      </c>
    </row>
    <row r="1123" spans="1:7">
      <c r="A1123" s="1">
        <v>40161</v>
      </c>
      <c r="B1123">
        <v>1.4647</v>
      </c>
      <c r="C1123">
        <f t="shared" si="85"/>
        <v>-0.748201014514246</v>
      </c>
      <c r="D1123">
        <f t="shared" si="86"/>
        <v>0.412023449256186</v>
      </c>
      <c r="E1123">
        <f t="shared" si="87"/>
        <v>0.337748935202718</v>
      </c>
      <c r="F1123">
        <f t="shared" si="89"/>
        <v>0.23599853379934</v>
      </c>
      <c r="G1123">
        <f t="shared" si="88"/>
        <v>0.286002896195146</v>
      </c>
    </row>
    <row r="1124" spans="1:7">
      <c r="A1124" s="1">
        <v>40162</v>
      </c>
      <c r="B1124">
        <v>1.4541</v>
      </c>
      <c r="C1124">
        <f t="shared" si="85"/>
        <v>-0.726329080482138</v>
      </c>
      <c r="D1124">
        <f t="shared" si="86"/>
        <v>0.426801580142582</v>
      </c>
      <c r="E1124">
        <f t="shared" si="87"/>
        <v>0.346474236996562</v>
      </c>
      <c r="F1124">
        <f t="shared" si="89"/>
        <v>0.192313812979086</v>
      </c>
      <c r="G1124">
        <f t="shared" si="88"/>
        <v>0.231344284763922</v>
      </c>
    </row>
    <row r="1125" spans="1:7">
      <c r="A1125" s="1">
        <v>40163</v>
      </c>
      <c r="B1125">
        <v>1.456</v>
      </c>
      <c r="C1125">
        <f t="shared" si="85"/>
        <v>0.13057972371912</v>
      </c>
      <c r="D1125">
        <f t="shared" si="86"/>
        <v>0.436876815443727</v>
      </c>
      <c r="E1125">
        <f t="shared" si="87"/>
        <v>0.35306347943447</v>
      </c>
      <c r="F1125">
        <f t="shared" si="89"/>
        <v>-0.394537277468291</v>
      </c>
      <c r="G1125">
        <f t="shared" si="88"/>
        <v>-0.4964063981926</v>
      </c>
    </row>
    <row r="1126" spans="1:7">
      <c r="A1126" s="1">
        <v>40164</v>
      </c>
      <c r="B1126">
        <v>1.4343</v>
      </c>
      <c r="C1126">
        <f t="shared" si="85"/>
        <v>-1.5016024456464</v>
      </c>
      <c r="D1126">
        <f t="shared" si="86"/>
        <v>0.39489424032401</v>
      </c>
      <c r="E1126">
        <f t="shared" si="87"/>
        <v>0.333732223880729</v>
      </c>
      <c r="F1126">
        <f t="shared" si="89"/>
        <v>2.39038550750032</v>
      </c>
      <c r="G1126">
        <f t="shared" si="88"/>
        <v>2.82946412793664</v>
      </c>
    </row>
    <row r="1127" spans="1:7">
      <c r="A1127" s="1">
        <v>40165</v>
      </c>
      <c r="B1127">
        <v>1.4337</v>
      </c>
      <c r="C1127">
        <f t="shared" si="85"/>
        <v>-0.041841004794516</v>
      </c>
      <c r="D1127">
        <f t="shared" si="86"/>
        <v>0.580885806768733</v>
      </c>
      <c r="E1127">
        <f t="shared" si="87"/>
        <v>0.427448785686448</v>
      </c>
      <c r="F1127">
        <f t="shared" si="89"/>
        <v>-0.270093647138997</v>
      </c>
      <c r="G1127">
        <f t="shared" si="88"/>
        <v>-0.422912586466072</v>
      </c>
    </row>
    <row r="1128" spans="1:7">
      <c r="A1128" s="1">
        <v>40168</v>
      </c>
      <c r="B1128">
        <v>1.4368</v>
      </c>
      <c r="C1128">
        <f t="shared" si="85"/>
        <v>0.215990329571291</v>
      </c>
      <c r="D1128">
        <f t="shared" si="86"/>
        <v>0.522972293060081</v>
      </c>
      <c r="E1128">
        <f t="shared" si="87"/>
        <v>0.402889392029371</v>
      </c>
      <c r="F1128">
        <f t="shared" si="89"/>
        <v>-0.279510821037747</v>
      </c>
      <c r="G1128">
        <f t="shared" si="88"/>
        <v>-0.39665004467298</v>
      </c>
    </row>
    <row r="1129" spans="1:7">
      <c r="A1129" s="1">
        <v>40169</v>
      </c>
      <c r="B1129">
        <v>1.4279</v>
      </c>
      <c r="C1129">
        <f t="shared" si="85"/>
        <v>-0.621358511168571</v>
      </c>
      <c r="D1129">
        <f t="shared" si="86"/>
        <v>0.475340246000905</v>
      </c>
      <c r="E1129">
        <f t="shared" si="87"/>
        <v>0.382048619631025</v>
      </c>
      <c r="F1129">
        <f t="shared" si="89"/>
        <v>0.0342536204468218</v>
      </c>
      <c r="G1129">
        <f t="shared" si="88"/>
        <v>0.0241806785015592</v>
      </c>
    </row>
    <row r="1130" spans="1:7">
      <c r="A1130" s="1">
        <v>40170</v>
      </c>
      <c r="B1130">
        <v>1.4276</v>
      </c>
      <c r="C1130">
        <f t="shared" si="85"/>
        <v>-0.0210120820244224</v>
      </c>
      <c r="D1130">
        <f t="shared" si="86"/>
        <v>0.466414861340976</v>
      </c>
      <c r="E1130">
        <f t="shared" si="87"/>
        <v>0.379430022423245</v>
      </c>
      <c r="F1130">
        <f t="shared" si="89"/>
        <v>-0.38086659102579</v>
      </c>
      <c r="G1130">
        <f t="shared" si="88"/>
        <v>-0.483960742933368</v>
      </c>
    </row>
    <row r="1131" spans="1:7">
      <c r="A1131" s="1">
        <v>40171</v>
      </c>
      <c r="B1131">
        <v>1.4398</v>
      </c>
      <c r="C1131">
        <f t="shared" si="85"/>
        <v>0.850950241919721</v>
      </c>
      <c r="D1131">
        <f t="shared" si="86"/>
        <v>0.419817525965979</v>
      </c>
      <c r="E1131">
        <f t="shared" si="87"/>
        <v>0.3576862964574</v>
      </c>
      <c r="F1131">
        <f t="shared" si="89"/>
        <v>0.428450356971569</v>
      </c>
      <c r="G1131">
        <f t="shared" si="88"/>
        <v>0.498173139735196</v>
      </c>
    </row>
    <row r="1132" spans="1:7">
      <c r="A1132" s="1">
        <v>40175</v>
      </c>
      <c r="B1132">
        <v>1.4405</v>
      </c>
      <c r="C1132">
        <f t="shared" si="85"/>
        <v>0.0486060489380582</v>
      </c>
      <c r="D1132">
        <f t="shared" si="86"/>
        <v>0.450247404791704</v>
      </c>
      <c r="E1132">
        <f t="shared" si="87"/>
        <v>0.373430934381118</v>
      </c>
      <c r="F1132">
        <f t="shared" si="89"/>
        <v>-0.396355418539963</v>
      </c>
      <c r="G1132">
        <f t="shared" si="88"/>
        <v>-0.489347803284161</v>
      </c>
    </row>
    <row r="1133" spans="1:7">
      <c r="A1133" s="1">
        <v>40176</v>
      </c>
      <c r="B1133">
        <v>1.4433</v>
      </c>
      <c r="C1133">
        <f t="shared" si="85"/>
        <v>0.194188284893471</v>
      </c>
      <c r="D1133">
        <f t="shared" si="86"/>
        <v>0.405458919111871</v>
      </c>
      <c r="E1133">
        <f t="shared" si="87"/>
        <v>0.352143205717919</v>
      </c>
      <c r="F1133">
        <f t="shared" si="89"/>
        <v>-0.404866120486245</v>
      </c>
      <c r="G1133">
        <f t="shared" si="88"/>
        <v>-0.468316410402172</v>
      </c>
    </row>
    <row r="1134" spans="1:7">
      <c r="A1134" s="1">
        <v>40177</v>
      </c>
      <c r="B1134">
        <v>1.4338</v>
      </c>
      <c r="C1134">
        <f t="shared" si="85"/>
        <v>-0.660389595474595</v>
      </c>
      <c r="D1134">
        <f t="shared" si="86"/>
        <v>0.36868393619967</v>
      </c>
      <c r="E1134">
        <f t="shared" si="87"/>
        <v>0.333900067874337</v>
      </c>
      <c r="F1134">
        <f t="shared" si="89"/>
        <v>0.092539773166075</v>
      </c>
      <c r="G1134">
        <f t="shared" si="88"/>
        <v>0.10460452516856</v>
      </c>
    </row>
    <row r="1135" spans="1:7">
      <c r="A1135" s="1">
        <v>40178</v>
      </c>
      <c r="B1135">
        <v>1.4406</v>
      </c>
      <c r="C1135">
        <f t="shared" si="85"/>
        <v>0.473143103649074</v>
      </c>
      <c r="D1135">
        <f t="shared" si="86"/>
        <v>0.375426984360813</v>
      </c>
      <c r="E1135">
        <f t="shared" si="87"/>
        <v>0.336671784692432</v>
      </c>
      <c r="F1135">
        <f t="shared" si="89"/>
        <v>-0.191699252771236</v>
      </c>
      <c r="G1135">
        <f t="shared" si="88"/>
        <v>-0.211856556080707</v>
      </c>
    </row>
    <row r="1136" spans="1:7">
      <c r="A1136" s="1">
        <v>40182</v>
      </c>
      <c r="B1136">
        <v>1.4389</v>
      </c>
      <c r="C1136">
        <f t="shared" si="85"/>
        <v>-0.118076068589069</v>
      </c>
      <c r="D1136">
        <f t="shared" si="86"/>
        <v>0.3602707255778</v>
      </c>
      <c r="E1136">
        <f t="shared" si="87"/>
        <v>0.32866469743742</v>
      </c>
      <c r="F1136">
        <f t="shared" si="89"/>
        <v>-0.491100477769375</v>
      </c>
      <c r="G1136">
        <f t="shared" si="88"/>
        <v>-0.535148600023271</v>
      </c>
    </row>
    <row r="1137" spans="1:7">
      <c r="A1137" s="1">
        <v>40183</v>
      </c>
      <c r="B1137">
        <v>1.4442</v>
      </c>
      <c r="C1137">
        <f t="shared" si="85"/>
        <v>0.367660224770934</v>
      </c>
      <c r="D1137">
        <f t="shared" si="86"/>
        <v>0.325637848817365</v>
      </c>
      <c r="E1137">
        <f t="shared" si="87"/>
        <v>0.310641913489847</v>
      </c>
      <c r="F1137">
        <f t="shared" si="89"/>
        <v>-0.353431986667481</v>
      </c>
      <c r="G1137">
        <f t="shared" si="88"/>
        <v>-0.366985094425396</v>
      </c>
    </row>
    <row r="1138" spans="1:7">
      <c r="A1138" s="1">
        <v>40184</v>
      </c>
      <c r="B1138">
        <v>1.435</v>
      </c>
      <c r="C1138">
        <f t="shared" si="85"/>
        <v>-0.639068582335973</v>
      </c>
      <c r="D1138">
        <f t="shared" si="86"/>
        <v>0.30659146802349</v>
      </c>
      <c r="E1138">
        <f t="shared" si="87"/>
        <v>0.299762100724387</v>
      </c>
      <c r="F1138">
        <f t="shared" si="89"/>
        <v>0.0749274262919505</v>
      </c>
      <c r="G1138">
        <f t="shared" si="88"/>
        <v>0.0788382368068263</v>
      </c>
    </row>
    <row r="1139" spans="1:7">
      <c r="A1139" s="1">
        <v>40185</v>
      </c>
      <c r="B1139">
        <v>1.4304</v>
      </c>
      <c r="C1139">
        <f t="shared" si="85"/>
        <v>-0.321072377447189</v>
      </c>
      <c r="D1139">
        <f t="shared" si="86"/>
        <v>0.316773186514032</v>
      </c>
      <c r="E1139">
        <f t="shared" si="87"/>
        <v>0.303196807327369</v>
      </c>
      <c r="F1139">
        <f t="shared" si="89"/>
        <v>-0.412069672448137</v>
      </c>
      <c r="G1139">
        <f t="shared" si="88"/>
        <v>-0.426685658938243</v>
      </c>
    </row>
    <row r="1140" spans="1:7">
      <c r="A1140" s="1">
        <v>40186</v>
      </c>
      <c r="B1140">
        <v>1.4273</v>
      </c>
      <c r="C1140">
        <f t="shared" si="85"/>
        <v>-0.216957778352679</v>
      </c>
      <c r="D1140">
        <f t="shared" si="86"/>
        <v>0.295404615018588</v>
      </c>
      <c r="E1140">
        <f t="shared" si="87"/>
        <v>0.291159372465707</v>
      </c>
      <c r="F1140">
        <f t="shared" si="89"/>
        <v>-0.530033109149523</v>
      </c>
      <c r="G1140">
        <f t="shared" si="88"/>
        <v>-0.536109062159368</v>
      </c>
    </row>
    <row r="1141" spans="1:7">
      <c r="A1141" s="1">
        <v>40189</v>
      </c>
      <c r="B1141">
        <v>1.4528</v>
      </c>
      <c r="C1141">
        <f t="shared" si="85"/>
        <v>1.77081812113061</v>
      </c>
      <c r="D1141">
        <f t="shared" si="86"/>
        <v>0.270571221275502</v>
      </c>
      <c r="E1141">
        <f t="shared" si="87"/>
        <v>0.277043343997151</v>
      </c>
      <c r="F1141">
        <f t="shared" si="89"/>
        <v>5.14116156674429</v>
      </c>
      <c r="G1141">
        <f t="shared" si="88"/>
        <v>5.01760684810165</v>
      </c>
    </row>
    <row r="1142" spans="1:7">
      <c r="A1142" s="1">
        <v>40190</v>
      </c>
      <c r="B1142">
        <v>1.4481</v>
      </c>
      <c r="C1142">
        <f t="shared" si="85"/>
        <v>-0.324037651247202</v>
      </c>
      <c r="D1142">
        <f t="shared" si="86"/>
        <v>0.557093780960408</v>
      </c>
      <c r="E1142">
        <f t="shared" si="87"/>
        <v>0.41821058426355</v>
      </c>
      <c r="F1142">
        <f t="shared" si="89"/>
        <v>-0.198271413814718</v>
      </c>
      <c r="G1142">
        <f t="shared" si="88"/>
        <v>-0.310349771152119</v>
      </c>
    </row>
    <row r="1143" spans="1:7">
      <c r="A1143" s="1">
        <v>40191</v>
      </c>
      <c r="B1143">
        <v>1.4563</v>
      </c>
      <c r="C1143">
        <f t="shared" si="85"/>
        <v>0.564662015397771</v>
      </c>
      <c r="D1143">
        <f t="shared" si="86"/>
        <v>0.511884442806947</v>
      </c>
      <c r="E1143">
        <f t="shared" si="87"/>
        <v>0.399367969179027</v>
      </c>
      <c r="F1143">
        <f t="shared" si="89"/>
        <v>-0.0233875927919627</v>
      </c>
      <c r="G1143">
        <f t="shared" si="88"/>
        <v>-0.0597512971060947</v>
      </c>
    </row>
    <row r="1144" spans="1:7">
      <c r="A1144" s="1">
        <v>40192</v>
      </c>
      <c r="B1144">
        <v>1.4486</v>
      </c>
      <c r="C1144">
        <f t="shared" si="85"/>
        <v>-0.530139972730893</v>
      </c>
      <c r="D1144">
        <f t="shared" si="86"/>
        <v>0.49258031768956</v>
      </c>
      <c r="E1144">
        <f t="shared" si="87"/>
        <v>0.392348050609939</v>
      </c>
      <c r="F1144">
        <f t="shared" si="89"/>
        <v>-0.0687670838250695</v>
      </c>
      <c r="G1144">
        <f t="shared" si="88"/>
        <v>-0.109640890755595</v>
      </c>
    </row>
    <row r="1145" spans="1:7">
      <c r="A1145" s="1">
        <v>40193</v>
      </c>
      <c r="B1145">
        <v>1.4374</v>
      </c>
      <c r="C1145">
        <f t="shared" si="85"/>
        <v>-0.776164672688354</v>
      </c>
      <c r="D1145">
        <f t="shared" si="86"/>
        <v>0.471427124989315</v>
      </c>
      <c r="E1145">
        <f t="shared" si="87"/>
        <v>0.383859587107698</v>
      </c>
      <c r="F1145">
        <f t="shared" si="89"/>
        <v>0.262949191153809</v>
      </c>
      <c r="G1145">
        <f t="shared" si="88"/>
        <v>0.30596385218933</v>
      </c>
    </row>
    <row r="1146" spans="1:7">
      <c r="A1146" s="1">
        <v>40196</v>
      </c>
      <c r="B1146">
        <v>1.4369</v>
      </c>
      <c r="C1146">
        <f t="shared" si="85"/>
        <v>-0.0347910799181277</v>
      </c>
      <c r="D1146">
        <f t="shared" si="86"/>
        <v>0.484527572403325</v>
      </c>
      <c r="E1146">
        <f t="shared" si="87"/>
        <v>0.391949591837707</v>
      </c>
      <c r="F1146">
        <f t="shared" si="89"/>
        <v>-0.361041398561618</v>
      </c>
      <c r="G1146">
        <f t="shared" si="88"/>
        <v>-0.466766919201957</v>
      </c>
    </row>
    <row r="1147" spans="1:7">
      <c r="A1147" s="1">
        <v>40197</v>
      </c>
      <c r="B1147">
        <v>1.4279</v>
      </c>
      <c r="C1147">
        <f t="shared" si="85"/>
        <v>-0.628318179891144</v>
      </c>
      <c r="D1147">
        <f t="shared" si="86"/>
        <v>0.43619585708718</v>
      </c>
      <c r="E1147">
        <f t="shared" si="87"/>
        <v>0.369493137289538</v>
      </c>
      <c r="F1147">
        <f t="shared" si="89"/>
        <v>0.037698397017722</v>
      </c>
      <c r="G1147">
        <f t="shared" si="88"/>
        <v>0.0364118103351234</v>
      </c>
    </row>
    <row r="1148" spans="1:7">
      <c r="A1148" s="1">
        <v>40198</v>
      </c>
      <c r="B1148">
        <v>1.4132</v>
      </c>
      <c r="C1148">
        <f t="shared" si="85"/>
        <v>-1.03481969512594</v>
      </c>
      <c r="D1148">
        <f t="shared" si="86"/>
        <v>0.432054644896634</v>
      </c>
      <c r="E1148">
        <f t="shared" si="87"/>
        <v>0.368062735811252</v>
      </c>
      <c r="F1148">
        <f t="shared" si="89"/>
        <v>0.81965344737765</v>
      </c>
      <c r="G1148">
        <f t="shared" si="88"/>
        <v>0.954962751601358</v>
      </c>
    </row>
    <row r="1149" spans="1:7">
      <c r="A1149" s="1">
        <v>40199</v>
      </c>
      <c r="B1149">
        <v>1.4064</v>
      </c>
      <c r="C1149">
        <f t="shared" si="85"/>
        <v>-0.48233885540775</v>
      </c>
      <c r="D1149">
        <f t="shared" si="86"/>
        <v>0.495934360549025</v>
      </c>
      <c r="E1149">
        <f t="shared" si="87"/>
        <v>0.400521561733604</v>
      </c>
      <c r="F1149">
        <f t="shared" si="89"/>
        <v>-0.116097821126791</v>
      </c>
      <c r="G1149">
        <f t="shared" si="88"/>
        <v>-0.167059073296534</v>
      </c>
    </row>
    <row r="1150" spans="1:7">
      <c r="A1150" s="1">
        <v>40200</v>
      </c>
      <c r="B1150">
        <v>1.4135</v>
      </c>
      <c r="C1150">
        <f t="shared" si="85"/>
        <v>0.503565020273248</v>
      </c>
      <c r="D1150">
        <f t="shared" si="86"/>
        <v>0.469606001637728</v>
      </c>
      <c r="E1150">
        <f t="shared" si="87"/>
        <v>0.389122806601391</v>
      </c>
      <c r="F1150">
        <f t="shared" si="89"/>
        <v>-0.107940741946907</v>
      </c>
      <c r="G1150">
        <f t="shared" si="88"/>
        <v>-0.14609762308744</v>
      </c>
    </row>
    <row r="1151" spans="1:7">
      <c r="A1151" s="1">
        <v>40203</v>
      </c>
      <c r="B1151">
        <v>1.4151</v>
      </c>
      <c r="C1151">
        <f t="shared" si="85"/>
        <v>0.11313018246807</v>
      </c>
      <c r="D1151">
        <f t="shared" si="86"/>
        <v>0.448003174438235</v>
      </c>
      <c r="E1151">
        <f t="shared" si="87"/>
        <v>0.379454324687447</v>
      </c>
      <c r="F1151">
        <f t="shared" si="89"/>
        <v>-0.387193610420048</v>
      </c>
      <c r="G1151">
        <f t="shared" si="88"/>
        <v>-0.467646255849027</v>
      </c>
    </row>
    <row r="1152" spans="1:7">
      <c r="A1152" s="1">
        <v>40204</v>
      </c>
      <c r="B1152">
        <v>1.4085</v>
      </c>
      <c r="C1152">
        <f t="shared" si="85"/>
        <v>-0.46748916418983</v>
      </c>
      <c r="D1152">
        <f t="shared" si="86"/>
        <v>0.404482700812937</v>
      </c>
      <c r="E1152">
        <f t="shared" si="87"/>
        <v>0.358326987115463</v>
      </c>
      <c r="F1152">
        <f t="shared" si="89"/>
        <v>-0.182418067898537</v>
      </c>
      <c r="G1152">
        <f t="shared" si="88"/>
        <v>-0.208201195456053</v>
      </c>
    </row>
    <row r="1153" spans="1:7">
      <c r="A1153" s="1">
        <v>40205</v>
      </c>
      <c r="B1153">
        <v>1.4072</v>
      </c>
      <c r="C1153">
        <f t="shared" si="85"/>
        <v>-0.0923393893078891</v>
      </c>
      <c r="D1153">
        <f t="shared" si="86"/>
        <v>0.385889042595134</v>
      </c>
      <c r="E1153">
        <f t="shared" si="87"/>
        <v>0.34875467382028</v>
      </c>
      <c r="F1153">
        <f t="shared" si="89"/>
        <v>-0.465054756358229</v>
      </c>
      <c r="G1153">
        <f t="shared" si="88"/>
        <v>-0.514468973155018</v>
      </c>
    </row>
    <row r="1154" spans="1:7">
      <c r="A1154" s="1">
        <v>40206</v>
      </c>
      <c r="B1154">
        <v>1.3999</v>
      </c>
      <c r="C1154">
        <f t="shared" si="85"/>
        <v>-0.520110894256895</v>
      </c>
      <c r="D1154">
        <f t="shared" si="86"/>
        <v>0.348152794617396</v>
      </c>
      <c r="E1154">
        <f t="shared" si="87"/>
        <v>0.329255721531951</v>
      </c>
      <c r="F1154">
        <f t="shared" si="89"/>
        <v>-0.139056023571763</v>
      </c>
      <c r="G1154">
        <f t="shared" si="88"/>
        <v>-0.144662039769462</v>
      </c>
    </row>
    <row r="1155" spans="1:7">
      <c r="A1155" s="1">
        <v>40207</v>
      </c>
      <c r="B1155">
        <v>1.3966</v>
      </c>
      <c r="C1155">
        <f t="shared" si="85"/>
        <v>-0.236009406884454</v>
      </c>
      <c r="D1155">
        <f t="shared" si="86"/>
        <v>0.340389049388127</v>
      </c>
      <c r="E1155">
        <f t="shared" si="87"/>
        <v>0.32402614535627</v>
      </c>
      <c r="F1155">
        <f t="shared" si="89"/>
        <v>-0.457014236556329</v>
      </c>
      <c r="G1155">
        <f t="shared" si="88"/>
        <v>-0.47751500192711</v>
      </c>
    </row>
    <row r="1156" spans="1:7">
      <c r="A1156" s="1">
        <v>40210</v>
      </c>
      <c r="B1156">
        <v>1.3913</v>
      </c>
      <c r="C1156">
        <f t="shared" ref="C1156:C1219" si="90">100*LN(B1156/B1155)</f>
        <v>-0.380214956410393</v>
      </c>
      <c r="D1156">
        <f t="shared" si="86"/>
        <v>0.31192018846311</v>
      </c>
      <c r="E1156">
        <f t="shared" si="87"/>
        <v>0.308369598641791</v>
      </c>
      <c r="F1156">
        <f t="shared" si="89"/>
        <v>-0.350772550374653</v>
      </c>
      <c r="G1156">
        <f t="shared" si="88"/>
        <v>-0.353828523002815</v>
      </c>
    </row>
    <row r="1157" spans="1:7">
      <c r="A1157" s="1">
        <v>40211</v>
      </c>
      <c r="B1157">
        <v>1.3937</v>
      </c>
      <c r="C1157">
        <f t="shared" si="90"/>
        <v>0.172351927763289</v>
      </c>
      <c r="D1157">
        <f t="shared" ref="D1157:D1220" si="91">$J$1*D1156+(1-$J$1)*C1156^2</f>
        <v>0.295184510924614</v>
      </c>
      <c r="E1157">
        <f t="shared" ref="E1157:E1220" si="92">$K$1+$K$2*C1156^2+$K$3*E1156</f>
        <v>0.298095593377191</v>
      </c>
      <c r="F1157">
        <f t="shared" si="89"/>
        <v>-0.559761024991035</v>
      </c>
      <c r="G1157">
        <f t="shared" ref="G1157:G1220" si="93">0.5*(LN(E1157)+C1157^2/E1157)</f>
        <v>-0.555345595593653</v>
      </c>
    </row>
    <row r="1158" spans="1:7">
      <c r="A1158" s="1">
        <v>40212</v>
      </c>
      <c r="B1158">
        <v>1.3984</v>
      </c>
      <c r="C1158">
        <f t="shared" si="90"/>
        <v>0.336664477580714</v>
      </c>
      <c r="D1158">
        <f t="shared" si="91"/>
        <v>0.268636578532525</v>
      </c>
      <c r="E1158">
        <f t="shared" si="92"/>
        <v>0.282695117124746</v>
      </c>
      <c r="F1158">
        <f t="shared" si="89"/>
        <v>-0.446238236247457</v>
      </c>
      <c r="G1158">
        <f t="shared" si="93"/>
        <v>-0.431224575635657</v>
      </c>
    </row>
    <row r="1159" spans="1:7">
      <c r="A1159" s="1">
        <v>40213</v>
      </c>
      <c r="B1159">
        <v>1.3847</v>
      </c>
      <c r="C1159">
        <f t="shared" si="90"/>
        <v>-0.98452162406028</v>
      </c>
      <c r="D1159">
        <f t="shared" si="91"/>
        <v>0.253107217725742</v>
      </c>
      <c r="E1159">
        <f t="shared" si="92"/>
        <v>0.272400558620496</v>
      </c>
      <c r="F1159">
        <f t="shared" ref="F1159:F1222" si="94">0.5*(LN(D1159)+C1159^2/D1159)</f>
        <v>1.22779621410908</v>
      </c>
      <c r="G1159">
        <f t="shared" si="93"/>
        <v>1.12890902709424</v>
      </c>
    </row>
    <row r="1160" spans="1:7">
      <c r="A1160" s="1">
        <v>40214</v>
      </c>
      <c r="B1160">
        <v>1.3691</v>
      </c>
      <c r="C1160">
        <f t="shared" si="90"/>
        <v>-1.1329920020958</v>
      </c>
      <c r="D1160">
        <f t="shared" si="91"/>
        <v>0.324724778777397</v>
      </c>
      <c r="E1160">
        <f t="shared" si="92"/>
        <v>0.305520666515381</v>
      </c>
      <c r="F1160">
        <f t="shared" si="94"/>
        <v>1.41416343960259</v>
      </c>
      <c r="G1160">
        <f t="shared" si="93"/>
        <v>1.50792328994585</v>
      </c>
    </row>
    <row r="1161" spans="1:7">
      <c r="A1161" s="1">
        <v>40217</v>
      </c>
      <c r="B1161">
        <v>1.3675</v>
      </c>
      <c r="C1161">
        <f t="shared" si="90"/>
        <v>-0.116933434357403</v>
      </c>
      <c r="D1161">
        <f t="shared" si="91"/>
        <v>0.420619388580962</v>
      </c>
      <c r="E1161">
        <f t="shared" si="92"/>
        <v>0.35237297036511</v>
      </c>
      <c r="F1161">
        <f t="shared" si="94"/>
        <v>-0.416759539331079</v>
      </c>
      <c r="G1161">
        <f t="shared" si="93"/>
        <v>-0.502130619456397</v>
      </c>
    </row>
    <row r="1162" spans="1:7">
      <c r="A1162" s="1">
        <v>40218</v>
      </c>
      <c r="B1162">
        <v>1.376</v>
      </c>
      <c r="C1162">
        <f t="shared" si="90"/>
        <v>0.619648419715258</v>
      </c>
      <c r="D1162">
        <f t="shared" si="91"/>
        <v>0.379924792529928</v>
      </c>
      <c r="E1162">
        <f t="shared" si="92"/>
        <v>0.332914263546735</v>
      </c>
      <c r="F1162">
        <f t="shared" si="94"/>
        <v>0.021425034527489</v>
      </c>
      <c r="G1162">
        <f t="shared" si="93"/>
        <v>0.0267360980778114</v>
      </c>
    </row>
    <row r="1163" spans="1:7">
      <c r="A1163" s="1">
        <v>40219</v>
      </c>
      <c r="B1163">
        <v>1.374</v>
      </c>
      <c r="C1163">
        <f t="shared" si="90"/>
        <v>-0.145454571099421</v>
      </c>
      <c r="D1163">
        <f t="shared" si="91"/>
        <v>0.380328729682497</v>
      </c>
      <c r="E1163">
        <f t="shared" si="92"/>
        <v>0.333137615936711</v>
      </c>
      <c r="F1163">
        <f t="shared" si="94"/>
        <v>-0.455545522126094</v>
      </c>
      <c r="G1163">
        <f t="shared" si="93"/>
        <v>-0.517845613725175</v>
      </c>
    </row>
    <row r="1164" spans="1:7">
      <c r="A1164" s="1">
        <v>40220</v>
      </c>
      <c r="B1164">
        <v>1.3718</v>
      </c>
      <c r="C1164">
        <f t="shared" si="90"/>
        <v>-0.160244771707384</v>
      </c>
      <c r="D1164">
        <f t="shared" si="91"/>
        <v>0.344411559939619</v>
      </c>
      <c r="E1164">
        <f t="shared" si="92"/>
        <v>0.315207210593195</v>
      </c>
      <c r="F1164">
        <f t="shared" si="94"/>
        <v>-0.495680334039501</v>
      </c>
      <c r="G1164">
        <f t="shared" si="93"/>
        <v>-0.536529972620752</v>
      </c>
    </row>
    <row r="1165" spans="1:7">
      <c r="A1165" s="1">
        <v>40221</v>
      </c>
      <c r="B1165">
        <v>1.3572</v>
      </c>
      <c r="C1165">
        <f t="shared" si="90"/>
        <v>-1.06999921551459</v>
      </c>
      <c r="D1165">
        <f t="shared" si="91"/>
        <v>0.312538242631612</v>
      </c>
      <c r="E1165">
        <f t="shared" si="92"/>
        <v>0.298578697300581</v>
      </c>
      <c r="F1165">
        <f t="shared" si="94"/>
        <v>1.25009894722258</v>
      </c>
      <c r="G1165">
        <f t="shared" si="93"/>
        <v>1.31288629472689</v>
      </c>
    </row>
    <row r="1166" spans="1:7">
      <c r="A1166" s="1">
        <v>40224</v>
      </c>
      <c r="B1166">
        <v>1.3607</v>
      </c>
      <c r="C1166">
        <f t="shared" si="90"/>
        <v>0.257551928673762</v>
      </c>
      <c r="D1166">
        <f t="shared" si="91"/>
        <v>0.395774250488634</v>
      </c>
      <c r="E1166">
        <f t="shared" si="92"/>
        <v>0.338908891522637</v>
      </c>
      <c r="F1166">
        <f t="shared" si="94"/>
        <v>-0.379654096488425</v>
      </c>
      <c r="G1166">
        <f t="shared" si="93"/>
        <v>-0.443149403703435</v>
      </c>
    </row>
    <row r="1167" spans="1:7">
      <c r="A1167" s="1">
        <v>40225</v>
      </c>
      <c r="B1167">
        <v>1.3649</v>
      </c>
      <c r="C1167">
        <f t="shared" si="90"/>
        <v>0.308189266533706</v>
      </c>
      <c r="D1167">
        <f t="shared" si="91"/>
        <v>0.362830125036128</v>
      </c>
      <c r="E1167">
        <f t="shared" si="92"/>
        <v>0.322891007829458</v>
      </c>
      <c r="F1167">
        <f t="shared" si="94"/>
        <v>-0.37602170629813</v>
      </c>
      <c r="G1167">
        <f t="shared" si="93"/>
        <v>-0.418141765427763</v>
      </c>
    </row>
    <row r="1168" spans="1:7">
      <c r="A1168" s="1">
        <v>40226</v>
      </c>
      <c r="B1168">
        <v>1.3726</v>
      </c>
      <c r="C1168">
        <f t="shared" si="90"/>
        <v>0.562558561238461</v>
      </c>
      <c r="D1168">
        <f t="shared" si="91"/>
        <v>0.336045174933174</v>
      </c>
      <c r="E1168">
        <f t="shared" si="92"/>
        <v>0.30926657856002</v>
      </c>
      <c r="F1168">
        <f t="shared" si="94"/>
        <v>-0.0743774716939516</v>
      </c>
      <c r="G1168">
        <f t="shared" si="93"/>
        <v>-0.0751264040780413</v>
      </c>
    </row>
    <row r="1169" spans="1:7">
      <c r="A1169" s="1">
        <v>40227</v>
      </c>
      <c r="B1169">
        <v>1.3567</v>
      </c>
      <c r="C1169">
        <f t="shared" si="90"/>
        <v>-1.16514709832714</v>
      </c>
      <c r="D1169">
        <f t="shared" si="91"/>
        <v>0.334087870922125</v>
      </c>
      <c r="E1169">
        <f t="shared" si="92"/>
        <v>0.307534190587553</v>
      </c>
      <c r="F1169">
        <f t="shared" si="94"/>
        <v>1.48357692311556</v>
      </c>
      <c r="G1169">
        <f t="shared" si="93"/>
        <v>1.61759733460247</v>
      </c>
    </row>
    <row r="1170" spans="1:7">
      <c r="A1170" s="1">
        <v>40228</v>
      </c>
      <c r="B1170">
        <v>1.3519</v>
      </c>
      <c r="C1170">
        <f t="shared" si="90"/>
        <v>-0.354427012090319</v>
      </c>
      <c r="D1170">
        <f t="shared" si="91"/>
        <v>0.436435859903928</v>
      </c>
      <c r="E1170">
        <f t="shared" si="92"/>
        <v>0.357960527189307</v>
      </c>
      <c r="F1170">
        <f t="shared" si="94"/>
        <v>-0.270642875204424</v>
      </c>
      <c r="G1170">
        <f t="shared" si="93"/>
        <v>-0.338202090366562</v>
      </c>
    </row>
    <row r="1171" spans="1:7">
      <c r="A1171" s="1">
        <v>40231</v>
      </c>
      <c r="B1171">
        <v>1.3626</v>
      </c>
      <c r="C1171">
        <f t="shared" si="90"/>
        <v>0.788362896920814</v>
      </c>
      <c r="D1171">
        <f t="shared" si="91"/>
        <v>0.405354124603462</v>
      </c>
      <c r="E1171">
        <f t="shared" si="92"/>
        <v>0.343763820902912</v>
      </c>
      <c r="F1171">
        <f t="shared" si="94"/>
        <v>0.315136337995791</v>
      </c>
      <c r="G1171">
        <f t="shared" si="93"/>
        <v>0.370086797774674</v>
      </c>
    </row>
    <row r="1172" spans="1:7">
      <c r="A1172" s="1">
        <v>40232</v>
      </c>
      <c r="B1172">
        <v>1.3577</v>
      </c>
      <c r="C1172">
        <f t="shared" si="90"/>
        <v>-0.360254773333229</v>
      </c>
      <c r="D1172">
        <f t="shared" si="91"/>
        <v>0.426970317867253</v>
      </c>
      <c r="E1172">
        <f t="shared" si="92"/>
        <v>0.355213794510806</v>
      </c>
      <c r="F1172">
        <f t="shared" si="94"/>
        <v>-0.273538512458137</v>
      </c>
      <c r="G1172">
        <f t="shared" si="93"/>
        <v>-0.334834071024841</v>
      </c>
    </row>
    <row r="1173" spans="1:7">
      <c r="A1173" s="1">
        <v>40233</v>
      </c>
      <c r="B1173">
        <v>1.3547</v>
      </c>
      <c r="C1173">
        <f t="shared" si="90"/>
        <v>-0.221206401954475</v>
      </c>
      <c r="D1173">
        <f t="shared" si="91"/>
        <v>0.397251636251466</v>
      </c>
      <c r="E1173">
        <f t="shared" si="92"/>
        <v>0.341390141925627</v>
      </c>
      <c r="F1173">
        <f t="shared" si="94"/>
        <v>-0.400004167915239</v>
      </c>
      <c r="G1173">
        <f t="shared" si="93"/>
        <v>-0.465698466545063</v>
      </c>
    </row>
    <row r="1174" spans="1:7">
      <c r="A1174" s="1">
        <v>40234</v>
      </c>
      <c r="B1174">
        <v>1.3489</v>
      </c>
      <c r="C1174">
        <f t="shared" si="90"/>
        <v>-0.42905821110567</v>
      </c>
      <c r="D1174">
        <f t="shared" si="91"/>
        <v>0.362419699852884</v>
      </c>
      <c r="E1174">
        <f t="shared" si="92"/>
        <v>0.324353347023371</v>
      </c>
      <c r="F1174">
        <f t="shared" si="94"/>
        <v>-0.253501363855478</v>
      </c>
      <c r="G1174">
        <f t="shared" si="93"/>
        <v>-0.279179405794142</v>
      </c>
    </row>
    <row r="1175" spans="1:7">
      <c r="A1175" s="1">
        <v>40235</v>
      </c>
      <c r="B1175">
        <v>1.357</v>
      </c>
      <c r="C1175">
        <f t="shared" si="90"/>
        <v>0.598693535923506</v>
      </c>
      <c r="D1175">
        <f t="shared" si="91"/>
        <v>0.344586824719315</v>
      </c>
      <c r="E1175">
        <f t="shared" si="92"/>
        <v>0.315096693627829</v>
      </c>
      <c r="F1175">
        <f t="shared" si="94"/>
        <v>-0.0126122343366574</v>
      </c>
      <c r="G1175">
        <f t="shared" si="93"/>
        <v>-0.00866967527181739</v>
      </c>
    </row>
    <row r="1176" spans="1:7">
      <c r="A1176" s="1">
        <v>40238</v>
      </c>
      <c r="B1176">
        <v>1.3525</v>
      </c>
      <c r="C1176">
        <f t="shared" si="90"/>
        <v>-0.332164911423247</v>
      </c>
      <c r="D1176">
        <f t="shared" si="91"/>
        <v>0.345971537243043</v>
      </c>
      <c r="E1176">
        <f t="shared" si="92"/>
        <v>0.315112589507989</v>
      </c>
      <c r="F1176">
        <f t="shared" si="94"/>
        <v>-0.371244752699251</v>
      </c>
      <c r="G1176">
        <f t="shared" si="93"/>
        <v>-0.402342628523085</v>
      </c>
    </row>
    <row r="1177" spans="1:7">
      <c r="A1177" s="1">
        <v>40239</v>
      </c>
      <c r="B1177">
        <v>1.3548</v>
      </c>
      <c r="C1177">
        <f t="shared" si="90"/>
        <v>0.169911022298</v>
      </c>
      <c r="D1177">
        <f t="shared" si="91"/>
        <v>0.32240773635682</v>
      </c>
      <c r="E1177">
        <f t="shared" si="92"/>
        <v>0.30272251055655</v>
      </c>
      <c r="F1177">
        <f t="shared" si="94"/>
        <v>-0.521197016593931</v>
      </c>
      <c r="G1177">
        <f t="shared" si="93"/>
        <v>-0.549785820455822</v>
      </c>
    </row>
    <row r="1178" spans="1:7">
      <c r="A1178" s="1">
        <v>40240</v>
      </c>
      <c r="B1178">
        <v>1.3641</v>
      </c>
      <c r="C1178">
        <f t="shared" si="90"/>
        <v>0.684102855545803</v>
      </c>
      <c r="D1178">
        <f t="shared" si="91"/>
        <v>0.293053938270973</v>
      </c>
      <c r="E1178">
        <f t="shared" si="92"/>
        <v>0.287002647698075</v>
      </c>
      <c r="F1178">
        <f t="shared" si="94"/>
        <v>0.184782918895167</v>
      </c>
      <c r="G1178">
        <f t="shared" si="93"/>
        <v>0.191185850307222</v>
      </c>
    </row>
    <row r="1179" spans="1:7">
      <c r="A1179" s="1">
        <v>40241</v>
      </c>
      <c r="B1179">
        <v>1.3668</v>
      </c>
      <c r="C1179">
        <f t="shared" si="90"/>
        <v>0.19773707420622</v>
      </c>
      <c r="D1179">
        <f t="shared" si="91"/>
        <v>0.310548216140468</v>
      </c>
      <c r="E1179">
        <f t="shared" si="92"/>
        <v>0.294182324684486</v>
      </c>
      <c r="F1179">
        <f t="shared" si="94"/>
        <v>-0.521754944519112</v>
      </c>
      <c r="G1179">
        <f t="shared" si="93"/>
        <v>-0.545322473840429</v>
      </c>
    </row>
    <row r="1180" spans="1:7">
      <c r="A1180" s="1">
        <v>40242</v>
      </c>
      <c r="B1180">
        <v>1.3582</v>
      </c>
      <c r="C1180">
        <f t="shared" si="90"/>
        <v>-0.631194756144573</v>
      </c>
      <c r="D1180">
        <f t="shared" si="91"/>
        <v>0.283403389577985</v>
      </c>
      <c r="E1180">
        <f t="shared" si="92"/>
        <v>0.279486382729199</v>
      </c>
      <c r="F1180">
        <f t="shared" si="94"/>
        <v>0.0724550669976722</v>
      </c>
      <c r="G1180">
        <f t="shared" si="93"/>
        <v>0.0753473242515643</v>
      </c>
    </row>
    <row r="1181" spans="1:7">
      <c r="A1181" s="1">
        <v>40245</v>
      </c>
      <c r="B1181">
        <v>1.3662</v>
      </c>
      <c r="C1181">
        <f t="shared" si="90"/>
        <v>0.587286961805783</v>
      </c>
      <c r="D1181">
        <f t="shared" si="91"/>
        <v>0.294903732638627</v>
      </c>
      <c r="E1181">
        <f t="shared" si="92"/>
        <v>0.283637540774667</v>
      </c>
      <c r="F1181">
        <f t="shared" si="94"/>
        <v>-0.0257759234286697</v>
      </c>
      <c r="G1181">
        <f t="shared" si="93"/>
        <v>-0.0220242551125567</v>
      </c>
    </row>
    <row r="1182" spans="1:7">
      <c r="A1182" s="1">
        <v>40246</v>
      </c>
      <c r="B1182">
        <v>1.3557</v>
      </c>
      <c r="C1182">
        <f t="shared" si="90"/>
        <v>-0.771523721240541</v>
      </c>
      <c r="D1182">
        <f t="shared" si="91"/>
        <v>0.299903956925471</v>
      </c>
      <c r="E1182">
        <f t="shared" si="92"/>
        <v>0.284864587103541</v>
      </c>
      <c r="F1182">
        <f t="shared" si="94"/>
        <v>0.390252631358107</v>
      </c>
      <c r="G1182">
        <f t="shared" si="93"/>
        <v>0.416921975481685</v>
      </c>
    </row>
    <row r="1183" spans="1:7">
      <c r="A1183" s="1">
        <v>40247</v>
      </c>
      <c r="B1183">
        <v>1.361</v>
      </c>
      <c r="C1183">
        <f t="shared" si="90"/>
        <v>0.390179756612236</v>
      </c>
      <c r="D1183">
        <f t="shared" si="91"/>
        <v>0.329438446476609</v>
      </c>
      <c r="E1183">
        <f t="shared" si="92"/>
        <v>0.298535154499171</v>
      </c>
      <c r="F1183">
        <f t="shared" si="94"/>
        <v>-0.324122651687755</v>
      </c>
      <c r="G1183">
        <f t="shared" si="93"/>
        <v>-0.349455038906302</v>
      </c>
    </row>
    <row r="1184" spans="1:7">
      <c r="A1184" s="1">
        <v>40248</v>
      </c>
      <c r="B1184">
        <v>1.3657</v>
      </c>
      <c r="C1184">
        <f t="shared" si="90"/>
        <v>0.344739403291274</v>
      </c>
      <c r="D1184">
        <f t="shared" si="91"/>
        <v>0.311718626075947</v>
      </c>
      <c r="E1184">
        <f t="shared" si="92"/>
        <v>0.28923505735272</v>
      </c>
      <c r="F1184">
        <f t="shared" si="94"/>
        <v>-0.392198110656156</v>
      </c>
      <c r="G1184">
        <f t="shared" si="93"/>
        <v>-0.414810257217686</v>
      </c>
    </row>
    <row r="1185" spans="1:7">
      <c r="A1185" s="1">
        <v>40249</v>
      </c>
      <c r="B1185">
        <v>1.3765</v>
      </c>
      <c r="C1185">
        <f t="shared" si="90"/>
        <v>0.787692789828337</v>
      </c>
      <c r="D1185">
        <f t="shared" si="91"/>
        <v>0.292431289086514</v>
      </c>
      <c r="E1185">
        <f t="shared" si="92"/>
        <v>0.278823216720638</v>
      </c>
      <c r="F1185">
        <f t="shared" si="94"/>
        <v>0.446101699138095</v>
      </c>
      <c r="G1185">
        <f t="shared" si="93"/>
        <v>0.474051699917195</v>
      </c>
    </row>
    <row r="1186" spans="1:7">
      <c r="A1186" s="1">
        <v>40252</v>
      </c>
      <c r="B1186">
        <v>1.3705</v>
      </c>
      <c r="C1186">
        <f t="shared" si="90"/>
        <v>-0.436840883982156</v>
      </c>
      <c r="D1186">
        <f t="shared" si="91"/>
        <v>0.325234153292618</v>
      </c>
      <c r="E1186">
        <f t="shared" si="92"/>
        <v>0.294116820274777</v>
      </c>
      <c r="F1186">
        <f t="shared" si="94"/>
        <v>-0.268231758622792</v>
      </c>
      <c r="G1186">
        <f t="shared" si="93"/>
        <v>-0.287477280941767</v>
      </c>
    </row>
    <row r="1187" spans="1:7">
      <c r="A1187" s="1">
        <v>40253</v>
      </c>
      <c r="B1187">
        <v>1.3723</v>
      </c>
      <c r="C1187">
        <f t="shared" si="90"/>
        <v>0.131252753274704</v>
      </c>
      <c r="D1187">
        <f t="shared" si="91"/>
        <v>0.311793733755187</v>
      </c>
      <c r="E1187">
        <f t="shared" si="92"/>
        <v>0.287011308954206</v>
      </c>
      <c r="F1187">
        <f t="shared" si="94"/>
        <v>-0.55508061698723</v>
      </c>
      <c r="G1187">
        <f t="shared" si="93"/>
        <v>-0.594105320503209</v>
      </c>
    </row>
    <row r="1188" spans="1:7">
      <c r="A1188" s="1">
        <v>40254</v>
      </c>
      <c r="B1188">
        <v>1.3756</v>
      </c>
      <c r="C1188">
        <f t="shared" si="90"/>
        <v>0.240183528252351</v>
      </c>
      <c r="D1188">
        <f t="shared" si="91"/>
        <v>0.282337088903887</v>
      </c>
      <c r="E1188">
        <f t="shared" si="92"/>
        <v>0.271651994679063</v>
      </c>
      <c r="F1188">
        <f t="shared" si="94"/>
        <v>-0.530164991213965</v>
      </c>
      <c r="G1188">
        <f t="shared" si="93"/>
        <v>-0.545436529764552</v>
      </c>
    </row>
    <row r="1189" spans="1:7">
      <c r="A1189" s="1">
        <v>40255</v>
      </c>
      <c r="B1189">
        <v>1.366</v>
      </c>
      <c r="C1189">
        <f t="shared" si="90"/>
        <v>-0.700323842737562</v>
      </c>
      <c r="D1189">
        <f t="shared" si="91"/>
        <v>0.259872192737873</v>
      </c>
      <c r="E1189">
        <f t="shared" si="92"/>
        <v>0.259237281360507</v>
      </c>
      <c r="F1189">
        <f t="shared" si="94"/>
        <v>0.269860974174315</v>
      </c>
      <c r="G1189">
        <f t="shared" si="93"/>
        <v>0.270949021808323</v>
      </c>
    </row>
    <row r="1190" spans="1:7">
      <c r="A1190" s="1">
        <v>40256</v>
      </c>
      <c r="B1190">
        <v>1.3548</v>
      </c>
      <c r="C1190">
        <f t="shared" si="90"/>
        <v>-0.823291918711882</v>
      </c>
      <c r="D1190">
        <f t="shared" si="91"/>
        <v>0.282930321934757</v>
      </c>
      <c r="E1190">
        <f t="shared" si="92"/>
        <v>0.269205718714212</v>
      </c>
      <c r="F1190">
        <f t="shared" si="94"/>
        <v>0.566561044118703</v>
      </c>
      <c r="G1190">
        <f t="shared" si="93"/>
        <v>0.602766641969193</v>
      </c>
    </row>
    <row r="1191" spans="1:7">
      <c r="A1191" s="1">
        <v>40259</v>
      </c>
      <c r="B1191">
        <v>1.3471</v>
      </c>
      <c r="C1191">
        <f t="shared" si="90"/>
        <v>-0.569970823909441</v>
      </c>
      <c r="D1191">
        <f t="shared" si="91"/>
        <v>0.32241824808291</v>
      </c>
      <c r="E1191">
        <f t="shared" si="92"/>
        <v>0.287943854762173</v>
      </c>
      <c r="F1191">
        <f t="shared" si="94"/>
        <v>-0.0621557603954438</v>
      </c>
      <c r="G1191">
        <f t="shared" si="93"/>
        <v>-0.0583801527075253</v>
      </c>
    </row>
    <row r="1192" spans="1:7">
      <c r="A1192" s="1">
        <v>40260</v>
      </c>
      <c r="B1192">
        <v>1.3519</v>
      </c>
      <c r="C1192">
        <f t="shared" si="90"/>
        <v>0.355687666583759</v>
      </c>
      <c r="D1192">
        <f t="shared" si="91"/>
        <v>0.32266309728542</v>
      </c>
      <c r="E1192">
        <f t="shared" si="92"/>
        <v>0.287910560481843</v>
      </c>
      <c r="F1192">
        <f t="shared" si="94"/>
        <v>-0.369527120942442</v>
      </c>
      <c r="G1192">
        <f t="shared" si="93"/>
        <v>-0.402842600322651</v>
      </c>
    </row>
    <row r="1193" spans="1:7">
      <c r="A1193" s="1">
        <v>40261</v>
      </c>
      <c r="B1193">
        <v>1.3338</v>
      </c>
      <c r="C1193">
        <f t="shared" si="90"/>
        <v>-1.34789991721538</v>
      </c>
      <c r="D1193">
        <f t="shared" si="91"/>
        <v>0.303048159172858</v>
      </c>
      <c r="E1193">
        <f t="shared" si="92"/>
        <v>0.277961612660923</v>
      </c>
      <c r="F1193">
        <f t="shared" si="94"/>
        <v>2.40066800142187</v>
      </c>
      <c r="G1193">
        <f t="shared" si="93"/>
        <v>2.62800253450109</v>
      </c>
    </row>
    <row r="1194" spans="1:7">
      <c r="A1194" s="1">
        <v>40262</v>
      </c>
      <c r="B1194">
        <v>1.3356</v>
      </c>
      <c r="C1194">
        <f t="shared" si="90"/>
        <v>0.134861787129346</v>
      </c>
      <c r="D1194">
        <f t="shared" si="91"/>
        <v>0.454426761938494</v>
      </c>
      <c r="E1194">
        <f t="shared" si="92"/>
        <v>0.353125625242728</v>
      </c>
      <c r="F1194">
        <f t="shared" si="94"/>
        <v>-0.374347561779514</v>
      </c>
      <c r="G1194">
        <f t="shared" si="93"/>
        <v>-0.494713250959365</v>
      </c>
    </row>
    <row r="1195" spans="1:7">
      <c r="A1195" s="1">
        <v>40263</v>
      </c>
      <c r="B1195">
        <v>1.3353</v>
      </c>
      <c r="C1195">
        <f t="shared" si="90"/>
        <v>-0.0224643379581103</v>
      </c>
      <c r="D1195">
        <f t="shared" si="91"/>
        <v>0.410802855907416</v>
      </c>
      <c r="E1195">
        <f t="shared" si="92"/>
        <v>0.333847472809551</v>
      </c>
      <c r="F1195">
        <f t="shared" si="94"/>
        <v>-0.444206704664116</v>
      </c>
      <c r="G1195">
        <f t="shared" si="93"/>
        <v>-0.547779725318608</v>
      </c>
    </row>
    <row r="1196" spans="1:7">
      <c r="A1196" s="1">
        <v>40266</v>
      </c>
      <c r="B1196">
        <v>1.3471</v>
      </c>
      <c r="C1196">
        <f t="shared" si="90"/>
        <v>0.879814801460398</v>
      </c>
      <c r="D1196">
        <f t="shared" si="91"/>
        <v>0.369773034964664</v>
      </c>
      <c r="E1196">
        <f t="shared" si="92"/>
        <v>0.314841856764972</v>
      </c>
      <c r="F1196">
        <f t="shared" si="94"/>
        <v>0.549255178739541</v>
      </c>
      <c r="G1196">
        <f t="shared" si="93"/>
        <v>0.651463782838727</v>
      </c>
    </row>
    <row r="1197" spans="1:7">
      <c r="A1197" s="1">
        <v>40267</v>
      </c>
      <c r="B1197">
        <v>1.3482</v>
      </c>
      <c r="C1197">
        <f t="shared" si="90"/>
        <v>0.0816235714816327</v>
      </c>
      <c r="D1197">
        <f t="shared" si="91"/>
        <v>0.410203139955078</v>
      </c>
      <c r="E1197">
        <f t="shared" si="92"/>
        <v>0.335655049602514</v>
      </c>
      <c r="F1197">
        <f t="shared" si="94"/>
        <v>-0.437430525830651</v>
      </c>
      <c r="G1197">
        <f t="shared" si="93"/>
        <v>-0.535911156617275</v>
      </c>
    </row>
    <row r="1198" spans="1:7">
      <c r="A1198" s="1">
        <v>40268</v>
      </c>
      <c r="B1198">
        <v>1.3479</v>
      </c>
      <c r="C1198">
        <f t="shared" si="90"/>
        <v>-0.0222543675114459</v>
      </c>
      <c r="D1198">
        <f t="shared" si="91"/>
        <v>0.369849066701712</v>
      </c>
      <c r="E1198">
        <f t="shared" si="92"/>
        <v>0.316848866997434</v>
      </c>
      <c r="F1198">
        <f t="shared" si="94"/>
        <v>-0.496660603032426</v>
      </c>
      <c r="G1198">
        <f t="shared" si="93"/>
        <v>-0.573883654660267</v>
      </c>
    </row>
    <row r="1199" spans="1:7">
      <c r="A1199" s="1">
        <v>40269</v>
      </c>
      <c r="B1199">
        <v>1.3468</v>
      </c>
      <c r="C1199">
        <f t="shared" si="90"/>
        <v>-0.0816417457304619</v>
      </c>
      <c r="D1199">
        <f t="shared" si="91"/>
        <v>0.332913685718874</v>
      </c>
      <c r="E1199">
        <f t="shared" si="92"/>
        <v>0.298862697821255</v>
      </c>
      <c r="F1199">
        <f t="shared" si="94"/>
        <v>-0.539925347499173</v>
      </c>
      <c r="G1199">
        <f t="shared" si="93"/>
        <v>-0.592734275689439</v>
      </c>
    </row>
    <row r="1200" spans="1:7">
      <c r="A1200" s="1">
        <v>40274</v>
      </c>
      <c r="B1200">
        <v>1.3396</v>
      </c>
      <c r="C1200">
        <f t="shared" si="90"/>
        <v>-0.536034636686993</v>
      </c>
      <c r="D1200">
        <f t="shared" si="91"/>
        <v>0.300288854611579</v>
      </c>
      <c r="E1200">
        <f t="shared" si="92"/>
        <v>0.282264204684275</v>
      </c>
      <c r="F1200">
        <f t="shared" si="94"/>
        <v>-0.123077310234121</v>
      </c>
      <c r="G1200">
        <f t="shared" si="93"/>
        <v>-0.123476828442648</v>
      </c>
    </row>
    <row r="1201" spans="1:7">
      <c r="A1201" s="1">
        <v>40275</v>
      </c>
      <c r="B1201">
        <v>1.334</v>
      </c>
      <c r="C1201">
        <f t="shared" si="90"/>
        <v>-0.418911444448039</v>
      </c>
      <c r="D1201">
        <f t="shared" si="91"/>
        <v>0.298993282323236</v>
      </c>
      <c r="E1201">
        <f t="shared" si="92"/>
        <v>0.280695008989626</v>
      </c>
      <c r="F1201">
        <f t="shared" si="94"/>
        <v>-0.310204308793251</v>
      </c>
      <c r="G1201">
        <f t="shared" si="93"/>
        <v>-0.322649916958711</v>
      </c>
    </row>
    <row r="1202" spans="1:7">
      <c r="A1202" s="1">
        <v>40276</v>
      </c>
      <c r="B1202">
        <v>1.3296</v>
      </c>
      <c r="C1202">
        <f t="shared" si="90"/>
        <v>-0.330380237438542</v>
      </c>
      <c r="D1202">
        <f t="shared" si="91"/>
        <v>0.286642633919867</v>
      </c>
      <c r="E1202">
        <f t="shared" si="92"/>
        <v>0.273627648364726</v>
      </c>
      <c r="F1202">
        <f t="shared" si="94"/>
        <v>-0.43436371884674</v>
      </c>
      <c r="G1202">
        <f t="shared" si="93"/>
        <v>-0.448541635760188</v>
      </c>
    </row>
    <row r="1203" spans="1:7">
      <c r="A1203" s="1">
        <v>40277</v>
      </c>
      <c r="B1203">
        <v>1.3384</v>
      </c>
      <c r="C1203">
        <f t="shared" si="90"/>
        <v>0.659672557143064</v>
      </c>
      <c r="D1203">
        <f t="shared" si="91"/>
        <v>0.268893480656875</v>
      </c>
      <c r="E1203">
        <f t="shared" si="92"/>
        <v>0.26366754452734</v>
      </c>
      <c r="F1203">
        <f t="shared" si="94"/>
        <v>0.152462677483467</v>
      </c>
      <c r="G1203">
        <f t="shared" si="93"/>
        <v>0.158687662098738</v>
      </c>
    </row>
    <row r="1204" spans="1:7">
      <c r="A1204" s="1">
        <v>40280</v>
      </c>
      <c r="B1204">
        <v>1.3585</v>
      </c>
      <c r="C1204">
        <f t="shared" si="90"/>
        <v>1.49062791937882</v>
      </c>
      <c r="D1204">
        <f t="shared" si="91"/>
        <v>0.285520920855954</v>
      </c>
      <c r="E1204">
        <f t="shared" si="92"/>
        <v>0.270605885988083</v>
      </c>
      <c r="F1204">
        <f t="shared" si="94"/>
        <v>3.26436369820676</v>
      </c>
      <c r="G1204">
        <f t="shared" si="93"/>
        <v>3.45200336162855</v>
      </c>
    </row>
    <row r="1205" spans="1:7">
      <c r="A1205" s="1">
        <v>40281</v>
      </c>
      <c r="B1205">
        <v>1.3583</v>
      </c>
      <c r="C1205">
        <f t="shared" si="90"/>
        <v>-0.0147232037957365</v>
      </c>
      <c r="D1205">
        <f t="shared" si="91"/>
        <v>0.479165988173523</v>
      </c>
      <c r="E1205">
        <f t="shared" si="92"/>
        <v>0.36646811253038</v>
      </c>
      <c r="F1205">
        <f t="shared" si="94"/>
        <v>-0.367627907531109</v>
      </c>
      <c r="G1205">
        <f t="shared" si="93"/>
        <v>-0.501626124073072</v>
      </c>
    </row>
    <row r="1206" spans="1:7">
      <c r="A1206" s="1">
        <v>40282</v>
      </c>
      <c r="B1206">
        <v>1.3615</v>
      </c>
      <c r="C1206">
        <f t="shared" si="90"/>
        <v>0.235311528536905</v>
      </c>
      <c r="D1206">
        <f t="shared" si="91"/>
        <v>0.431271066629172</v>
      </c>
      <c r="E1206">
        <f t="shared" si="92"/>
        <v>0.345490864415058</v>
      </c>
      <c r="F1206">
        <f t="shared" si="94"/>
        <v>-0.356313508301417</v>
      </c>
      <c r="G1206">
        <f t="shared" si="93"/>
        <v>-0.451259980826751</v>
      </c>
    </row>
    <row r="1207" spans="1:7">
      <c r="A1207" s="1">
        <v>40283</v>
      </c>
      <c r="B1207">
        <v>1.3544</v>
      </c>
      <c r="C1207">
        <f t="shared" si="90"/>
        <v>-0.522848129488866</v>
      </c>
      <c r="D1207">
        <f t="shared" si="91"/>
        <v>0.393681111512492</v>
      </c>
      <c r="E1207">
        <f t="shared" si="92"/>
        <v>0.328529988323273</v>
      </c>
      <c r="F1207">
        <f t="shared" si="94"/>
        <v>-0.118909566247397</v>
      </c>
      <c r="G1207">
        <f t="shared" si="93"/>
        <v>-0.140513025479095</v>
      </c>
    </row>
    <row r="1208" spans="1:7">
      <c r="A1208" s="1">
        <v>40284</v>
      </c>
      <c r="B1208">
        <v>1.3535</v>
      </c>
      <c r="C1208">
        <f t="shared" si="90"/>
        <v>-0.0664721764569734</v>
      </c>
      <c r="D1208">
        <f t="shared" si="91"/>
        <v>0.381650017012244</v>
      </c>
      <c r="E1208">
        <f t="shared" si="92"/>
        <v>0.323486697349377</v>
      </c>
      <c r="F1208">
        <f t="shared" si="94"/>
        <v>-0.475836891787392</v>
      </c>
      <c r="G1208">
        <f t="shared" si="93"/>
        <v>-0.557469073213697</v>
      </c>
    </row>
    <row r="1209" spans="1:7">
      <c r="A1209" s="1">
        <v>40287</v>
      </c>
      <c r="B1209">
        <v>1.3432</v>
      </c>
      <c r="C1209">
        <f t="shared" si="90"/>
        <v>-0.763900329102484</v>
      </c>
      <c r="D1209">
        <f t="shared" si="91"/>
        <v>0.343926870335312</v>
      </c>
      <c r="E1209">
        <f t="shared" si="92"/>
        <v>0.305298423020561</v>
      </c>
      <c r="F1209">
        <f t="shared" si="94"/>
        <v>0.314691234402263</v>
      </c>
      <c r="G1209">
        <f t="shared" si="93"/>
        <v>0.362461179587989</v>
      </c>
    </row>
    <row r="1210" spans="1:7">
      <c r="A1210" s="1">
        <v>40288</v>
      </c>
      <c r="B1210">
        <v>1.3486</v>
      </c>
      <c r="C1210">
        <f t="shared" si="90"/>
        <v>0.401219053715053</v>
      </c>
      <c r="D1210">
        <f t="shared" si="91"/>
        <v>0.367888554582069</v>
      </c>
      <c r="E1210">
        <f t="shared" si="92"/>
        <v>0.317157703279471</v>
      </c>
      <c r="F1210">
        <f t="shared" si="94"/>
        <v>-0.281202974946591</v>
      </c>
      <c r="G1210">
        <f t="shared" si="93"/>
        <v>-0.32039781064364</v>
      </c>
    </row>
    <row r="1211" spans="1:7">
      <c r="A1211" s="1">
        <v>40289</v>
      </c>
      <c r="B1211">
        <v>1.3373</v>
      </c>
      <c r="C1211">
        <f t="shared" si="90"/>
        <v>-0.841436142173075</v>
      </c>
      <c r="D1211">
        <f t="shared" si="91"/>
        <v>0.347197372030262</v>
      </c>
      <c r="E1211">
        <f t="shared" si="92"/>
        <v>0.307177077535903</v>
      </c>
      <c r="F1211">
        <f t="shared" si="94"/>
        <v>0.490683324837296</v>
      </c>
      <c r="G1211">
        <f t="shared" si="93"/>
        <v>0.562288352352604</v>
      </c>
    </row>
    <row r="1212" spans="1:7">
      <c r="A1212" s="1">
        <v>40290</v>
      </c>
      <c r="B1212">
        <v>1.3339</v>
      </c>
      <c r="C1212">
        <f t="shared" si="90"/>
        <v>-0.254567373175243</v>
      </c>
      <c r="D1212">
        <f t="shared" si="91"/>
        <v>0.383279112962747</v>
      </c>
      <c r="E1212">
        <f t="shared" si="92"/>
        <v>0.325147191951504</v>
      </c>
      <c r="F1212">
        <f t="shared" si="94"/>
        <v>-0.394956272077222</v>
      </c>
      <c r="G1212">
        <f t="shared" si="93"/>
        <v>-0.462084479815865</v>
      </c>
    </row>
    <row r="1213" spans="1:7">
      <c r="A1213" s="1">
        <v>40291</v>
      </c>
      <c r="B1213">
        <v>1.3311</v>
      </c>
      <c r="C1213">
        <f t="shared" si="90"/>
        <v>-0.210131409402497</v>
      </c>
      <c r="D1213">
        <f t="shared" si="91"/>
        <v>0.351431656415007</v>
      </c>
      <c r="E1213">
        <f t="shared" si="92"/>
        <v>0.309878587808681</v>
      </c>
      <c r="F1213">
        <f t="shared" si="94"/>
        <v>-0.460048109704573</v>
      </c>
      <c r="G1213">
        <f t="shared" si="93"/>
        <v>-0.514541372193217</v>
      </c>
    </row>
    <row r="1214" spans="1:7">
      <c r="A1214" s="1">
        <v>40294</v>
      </c>
      <c r="B1214">
        <v>1.3321</v>
      </c>
      <c r="C1214">
        <f t="shared" si="90"/>
        <v>0.0750976304443747</v>
      </c>
      <c r="D1214">
        <f t="shared" si="91"/>
        <v>0.320704011695254</v>
      </c>
      <c r="E1214">
        <f t="shared" si="92"/>
        <v>0.294493633001034</v>
      </c>
      <c r="F1214">
        <f t="shared" si="94"/>
        <v>-0.559825716135379</v>
      </c>
      <c r="G1214">
        <f t="shared" si="93"/>
        <v>-0.601673776381952</v>
      </c>
    </row>
    <row r="1215" spans="1:7">
      <c r="A1215" s="1">
        <v>40295</v>
      </c>
      <c r="B1215">
        <v>1.329</v>
      </c>
      <c r="C1215">
        <f t="shared" si="90"/>
        <v>-0.232986464417183</v>
      </c>
      <c r="D1215">
        <f t="shared" si="91"/>
        <v>0.289197575935565</v>
      </c>
      <c r="E1215">
        <f t="shared" si="92"/>
        <v>0.27810599772589</v>
      </c>
      <c r="F1215">
        <f t="shared" si="94"/>
        <v>-0.526472053535318</v>
      </c>
      <c r="G1215">
        <f t="shared" si="93"/>
        <v>-0.542282944623825</v>
      </c>
    </row>
    <row r="1216" spans="1:7">
      <c r="A1216" s="1">
        <v>40296</v>
      </c>
      <c r="B1216">
        <v>1.3245</v>
      </c>
      <c r="C1216">
        <f t="shared" si="90"/>
        <v>-0.339175000112088</v>
      </c>
      <c r="D1216">
        <f t="shared" si="91"/>
        <v>0.26570608760217</v>
      </c>
      <c r="E1216">
        <f t="shared" si="92"/>
        <v>0.265133772492418</v>
      </c>
      <c r="F1216">
        <f t="shared" si="94"/>
        <v>-0.446203060953471</v>
      </c>
      <c r="G1216">
        <f t="shared" si="93"/>
        <v>-0.446813902920384</v>
      </c>
    </row>
    <row r="1217" spans="1:7">
      <c r="A1217" s="1">
        <v>40297</v>
      </c>
      <c r="B1217">
        <v>1.3256</v>
      </c>
      <c r="C1217">
        <f t="shared" si="90"/>
        <v>0.0830157400228694</v>
      </c>
      <c r="D1217">
        <f t="shared" si="91"/>
        <v>0.250639446912057</v>
      </c>
      <c r="E1217">
        <f t="shared" si="92"/>
        <v>0.255977730177924</v>
      </c>
      <c r="F1217">
        <f t="shared" si="94"/>
        <v>-0.678121857960584</v>
      </c>
      <c r="G1217">
        <f t="shared" si="93"/>
        <v>-0.667871062046921</v>
      </c>
    </row>
    <row r="1218" spans="1:7">
      <c r="A1218" s="1">
        <v>40298</v>
      </c>
      <c r="B1218">
        <v>1.3315</v>
      </c>
      <c r="C1218">
        <f t="shared" si="90"/>
        <v>0.444093914163383</v>
      </c>
      <c r="D1218">
        <f t="shared" si="91"/>
        <v>0.226264663530005</v>
      </c>
      <c r="E1218">
        <f t="shared" si="92"/>
        <v>0.241963647021826</v>
      </c>
      <c r="F1218">
        <f t="shared" si="94"/>
        <v>-0.307209201333933</v>
      </c>
      <c r="G1218">
        <f t="shared" si="93"/>
        <v>-0.301944562725322</v>
      </c>
    </row>
    <row r="1219" spans="1:7">
      <c r="A1219" s="1">
        <v>40301</v>
      </c>
      <c r="B1219">
        <v>1.3238</v>
      </c>
      <c r="C1219">
        <f t="shared" si="90"/>
        <v>-0.579973756916441</v>
      </c>
      <c r="D1219">
        <f t="shared" si="91"/>
        <v>0.2233601376367</v>
      </c>
      <c r="E1219">
        <f t="shared" si="92"/>
        <v>0.238306798430364</v>
      </c>
      <c r="F1219">
        <f t="shared" si="94"/>
        <v>0.00349088301580236</v>
      </c>
      <c r="G1219">
        <f t="shared" si="93"/>
        <v>-0.0113492055700601</v>
      </c>
    </row>
    <row r="1220" spans="1:7">
      <c r="A1220" s="1">
        <v>40302</v>
      </c>
      <c r="B1220">
        <v>1.3089</v>
      </c>
      <c r="C1220">
        <f t="shared" ref="C1220:C1280" si="95">100*LN(B1220/B1219)</f>
        <v>-1.13192988871489</v>
      </c>
      <c r="D1220">
        <f t="shared" si="91"/>
        <v>0.234661079744207</v>
      </c>
      <c r="E1220">
        <f t="shared" si="92"/>
        <v>0.241826868460131</v>
      </c>
      <c r="F1220">
        <f t="shared" si="94"/>
        <v>2.00522710792451</v>
      </c>
      <c r="G1220">
        <f t="shared" si="93"/>
        <v>1.93937093017944</v>
      </c>
    </row>
    <row r="1221" spans="1:7">
      <c r="A1221" s="1">
        <v>40303</v>
      </c>
      <c r="B1221">
        <v>1.2924</v>
      </c>
      <c r="C1221">
        <f t="shared" si="95"/>
        <v>-1.26861348473304</v>
      </c>
      <c r="D1221">
        <f t="shared" ref="D1221:D1280" si="96">$J$1*D1220+(1-$J$1)*C1220^2</f>
        <v>0.339321499066397</v>
      </c>
      <c r="E1221">
        <f t="shared" ref="E1221:E1280" si="97">$K$1+$K$2*C1220^2+$K$3*E1220</f>
        <v>0.292380520000828</v>
      </c>
      <c r="F1221">
        <f t="shared" si="94"/>
        <v>1.83106440659344</v>
      </c>
      <c r="G1221">
        <f t="shared" ref="G1221:G1280" si="98">0.5*(LN(E1221)+C1221^2/E1221)</f>
        <v>2.13735184818438</v>
      </c>
    </row>
    <row r="1222" spans="1:7">
      <c r="A1222" s="1">
        <v>40304</v>
      </c>
      <c r="B1222">
        <v>1.2727</v>
      </c>
      <c r="C1222">
        <f t="shared" si="95"/>
        <v>-1.53603269523418</v>
      </c>
      <c r="D1222">
        <f t="shared" si="96"/>
        <v>0.466327366524407</v>
      </c>
      <c r="E1222">
        <f t="shared" si="97"/>
        <v>0.356306697483103</v>
      </c>
      <c r="F1222">
        <f t="shared" si="94"/>
        <v>2.14833038387115</v>
      </c>
      <c r="G1222">
        <f t="shared" si="98"/>
        <v>2.7949249630029</v>
      </c>
    </row>
    <row r="1223" spans="1:7">
      <c r="A1223" s="1">
        <v>40305</v>
      </c>
      <c r="B1223">
        <v>1.2746</v>
      </c>
      <c r="C1223">
        <f t="shared" si="95"/>
        <v>0.14917758821923</v>
      </c>
      <c r="D1223">
        <f t="shared" si="96"/>
        <v>0.655634273954805</v>
      </c>
      <c r="E1223">
        <f t="shared" si="97"/>
        <v>0.453898117675537</v>
      </c>
      <c r="F1223">
        <f t="shared" ref="F1223:F1280" si="99">0.5*(LN(D1223)+C1223^2/D1223)</f>
        <v>-0.194104761405826</v>
      </c>
      <c r="G1223">
        <f t="shared" si="98"/>
        <v>-0.37042699839048</v>
      </c>
    </row>
    <row r="1224" spans="1:7">
      <c r="A1224" s="1">
        <v>40308</v>
      </c>
      <c r="B1224">
        <v>1.2969</v>
      </c>
      <c r="C1224">
        <f t="shared" si="95"/>
        <v>1.73443974615021</v>
      </c>
      <c r="D1224">
        <f t="shared" si="96"/>
        <v>0.592296241842016</v>
      </c>
      <c r="E1224">
        <f t="shared" si="97"/>
        <v>0.42877692825635</v>
      </c>
      <c r="F1224">
        <f t="shared" si="99"/>
        <v>2.27763309699151</v>
      </c>
      <c r="G1224">
        <f t="shared" si="98"/>
        <v>3.08457012698064</v>
      </c>
    </row>
    <row r="1225" spans="1:7">
      <c r="A1225" s="1">
        <v>40309</v>
      </c>
      <c r="B1225">
        <v>1.2698</v>
      </c>
      <c r="C1225">
        <f t="shared" si="95"/>
        <v>-2.11173936053462</v>
      </c>
      <c r="D1225">
        <f t="shared" si="96"/>
        <v>0.833894740960373</v>
      </c>
      <c r="E1225">
        <f t="shared" si="97"/>
        <v>0.554464374212248</v>
      </c>
      <c r="F1225">
        <f t="shared" si="99"/>
        <v>2.58304047534063</v>
      </c>
      <c r="G1225">
        <f t="shared" si="98"/>
        <v>3.72652098554129</v>
      </c>
    </row>
    <row r="1226" spans="1:7">
      <c r="A1226" s="1">
        <v>40310</v>
      </c>
      <c r="B1226">
        <v>1.2686</v>
      </c>
      <c r="C1226">
        <f t="shared" si="95"/>
        <v>-0.0945477536552855</v>
      </c>
      <c r="D1226">
        <f t="shared" si="96"/>
        <v>1.19644957954745</v>
      </c>
      <c r="E1226">
        <f t="shared" si="97"/>
        <v>0.745168668101071</v>
      </c>
      <c r="F1226">
        <f t="shared" si="99"/>
        <v>0.0934149957221898</v>
      </c>
      <c r="G1226">
        <f t="shared" si="98"/>
        <v>-0.141074185780228</v>
      </c>
    </row>
    <row r="1227" spans="1:7">
      <c r="A1227" s="1">
        <v>40311</v>
      </c>
      <c r="B1227">
        <v>1.2587</v>
      </c>
      <c r="C1227">
        <f t="shared" si="95"/>
        <v>-0.783448790233747</v>
      </c>
      <c r="D1227">
        <f t="shared" si="96"/>
        <v>1.07769854936483</v>
      </c>
      <c r="E1227">
        <f t="shared" si="97"/>
        <v>0.70190551190107</v>
      </c>
      <c r="F1227">
        <f t="shared" si="99"/>
        <v>0.322183700159429</v>
      </c>
      <c r="G1227">
        <f t="shared" si="98"/>
        <v>0.260254403706357</v>
      </c>
    </row>
    <row r="1228" spans="1:7">
      <c r="A1228" s="1">
        <v>40312</v>
      </c>
      <c r="B1228">
        <v>1.2492</v>
      </c>
      <c r="C1228">
        <f t="shared" si="95"/>
        <v>-0.75760958885356</v>
      </c>
      <c r="D1228">
        <f t="shared" si="96"/>
        <v>1.03130789512022</v>
      </c>
      <c r="E1228">
        <f t="shared" si="97"/>
        <v>0.691480781532942</v>
      </c>
      <c r="F1228">
        <f t="shared" si="99"/>
        <v>0.293687871131123</v>
      </c>
      <c r="G1228">
        <f t="shared" si="98"/>
        <v>0.230571306211867</v>
      </c>
    </row>
    <row r="1229" spans="1:7">
      <c r="A1229" s="1">
        <v>40315</v>
      </c>
      <c r="B1229">
        <v>1.2349</v>
      </c>
      <c r="C1229">
        <f t="shared" si="95"/>
        <v>-1.15133512851468</v>
      </c>
      <c r="D1229">
        <f t="shared" si="96"/>
        <v>0.985574334520485</v>
      </c>
      <c r="E1229">
        <f t="shared" si="97"/>
        <v>0.679690549097108</v>
      </c>
      <c r="F1229">
        <f t="shared" si="99"/>
        <v>0.665222003367561</v>
      </c>
      <c r="G1229">
        <f t="shared" si="98"/>
        <v>0.782070646512861</v>
      </c>
    </row>
    <row r="1230" spans="1:7">
      <c r="A1230" s="1">
        <v>40316</v>
      </c>
      <c r="B1230">
        <v>1.2428</v>
      </c>
      <c r="C1230">
        <f t="shared" si="95"/>
        <v>0.637690339511546</v>
      </c>
      <c r="D1230">
        <f t="shared" si="96"/>
        <v>1.01957415888363</v>
      </c>
      <c r="E1230">
        <f t="shared" si="97"/>
        <v>0.706187745058877</v>
      </c>
      <c r="F1230">
        <f t="shared" si="99"/>
        <v>0.209113510895036</v>
      </c>
      <c r="G1230">
        <f t="shared" si="98"/>
        <v>0.113981380581141</v>
      </c>
    </row>
    <row r="1231" spans="1:7">
      <c r="A1231" s="1">
        <v>40317</v>
      </c>
      <c r="B1231">
        <v>1.227</v>
      </c>
      <c r="C1231">
        <f t="shared" si="95"/>
        <v>-1.27947328079807</v>
      </c>
      <c r="D1231">
        <f t="shared" si="96"/>
        <v>0.9582816399059</v>
      </c>
      <c r="E1231">
        <f t="shared" si="97"/>
        <v>0.685148928810662</v>
      </c>
      <c r="F1231">
        <f t="shared" si="99"/>
        <v>0.832853318206487</v>
      </c>
      <c r="G1231">
        <f t="shared" si="98"/>
        <v>1.00560911375723</v>
      </c>
    </row>
    <row r="1232" spans="1:7">
      <c r="A1232" s="1">
        <v>40318</v>
      </c>
      <c r="B1232">
        <v>1.2334</v>
      </c>
      <c r="C1232">
        <f t="shared" si="95"/>
        <v>0.520241784648089</v>
      </c>
      <c r="D1232">
        <f t="shared" si="96"/>
        <v>1.02615866354293</v>
      </c>
      <c r="E1232">
        <f t="shared" si="97"/>
        <v>0.726892586895832</v>
      </c>
      <c r="F1232">
        <f t="shared" si="99"/>
        <v>0.144787244682977</v>
      </c>
      <c r="G1232">
        <f t="shared" si="98"/>
        <v>0.0266819456976974</v>
      </c>
    </row>
    <row r="1233" spans="1:7">
      <c r="A1233" s="1">
        <v>40319</v>
      </c>
      <c r="B1233">
        <v>1.2497</v>
      </c>
      <c r="C1233">
        <f t="shared" si="95"/>
        <v>1.31289389343454</v>
      </c>
      <c r="D1233">
        <f t="shared" si="96"/>
        <v>0.950607948638018</v>
      </c>
      <c r="E1233">
        <f t="shared" si="97"/>
        <v>0.697811607406773</v>
      </c>
      <c r="F1233">
        <f t="shared" si="99"/>
        <v>0.881298493025103</v>
      </c>
      <c r="G1233">
        <f t="shared" si="98"/>
        <v>1.05516551714756</v>
      </c>
    </row>
    <row r="1234" spans="1:7">
      <c r="A1234" s="1">
        <v>40322</v>
      </c>
      <c r="B1234">
        <v>1.236</v>
      </c>
      <c r="C1234">
        <f t="shared" si="95"/>
        <v>-1.10231634741019</v>
      </c>
      <c r="D1234">
        <f t="shared" si="96"/>
        <v>1.02791619131599</v>
      </c>
      <c r="E1234">
        <f t="shared" si="97"/>
        <v>0.743127429733252</v>
      </c>
      <c r="F1234">
        <f t="shared" si="99"/>
        <v>0.604817597156117</v>
      </c>
      <c r="G1234">
        <f t="shared" si="98"/>
        <v>0.669115326255335</v>
      </c>
    </row>
    <row r="1235" spans="1:7">
      <c r="A1235" s="1">
        <v>40323</v>
      </c>
      <c r="B1235">
        <v>1.2223</v>
      </c>
      <c r="C1235">
        <f t="shared" si="95"/>
        <v>-1.1146029234419</v>
      </c>
      <c r="D1235">
        <f t="shared" si="96"/>
        <v>1.04663470516116</v>
      </c>
      <c r="E1235">
        <f t="shared" si="97"/>
        <v>0.760294850437644</v>
      </c>
      <c r="F1235">
        <f t="shared" si="99"/>
        <v>0.616282478291043</v>
      </c>
      <c r="G1235">
        <f t="shared" si="98"/>
        <v>0.679987286128632</v>
      </c>
    </row>
    <row r="1236" spans="1:7">
      <c r="A1236" s="1">
        <v>40324</v>
      </c>
      <c r="B1236">
        <v>1.2309</v>
      </c>
      <c r="C1236">
        <f t="shared" si="95"/>
        <v>0.701127933303304</v>
      </c>
      <c r="D1236">
        <f t="shared" si="96"/>
        <v>1.06620520233957</v>
      </c>
      <c r="E1236">
        <f t="shared" si="97"/>
        <v>0.777794143258647</v>
      </c>
      <c r="F1236">
        <f t="shared" si="99"/>
        <v>0.2625809366363</v>
      </c>
      <c r="G1236">
        <f t="shared" si="98"/>
        <v>0.190362614995578</v>
      </c>
    </row>
    <row r="1237" spans="1:7">
      <c r="A1237" s="1">
        <v>40325</v>
      </c>
      <c r="B1237">
        <v>1.2255</v>
      </c>
      <c r="C1237">
        <f t="shared" si="95"/>
        <v>-0.439668514808293</v>
      </c>
      <c r="D1237">
        <f t="shared" si="96"/>
        <v>1.00874271999143</v>
      </c>
      <c r="E1237">
        <f t="shared" si="97"/>
        <v>0.756705513606037</v>
      </c>
      <c r="F1237">
        <f t="shared" si="99"/>
        <v>0.100168866444178</v>
      </c>
      <c r="G1237">
        <f t="shared" si="98"/>
        <v>-0.0116602869603252</v>
      </c>
    </row>
    <row r="1238" spans="1:7">
      <c r="A1238" s="1">
        <v>40326</v>
      </c>
      <c r="B1238">
        <v>1.2384</v>
      </c>
      <c r="C1238">
        <f t="shared" si="95"/>
        <v>1.04712998672954</v>
      </c>
      <c r="D1238">
        <f t="shared" si="96"/>
        <v>0.92719928828366</v>
      </c>
      <c r="E1238">
        <f t="shared" si="97"/>
        <v>0.721968602935361</v>
      </c>
      <c r="F1238">
        <f t="shared" si="99"/>
        <v>0.553493319640991</v>
      </c>
      <c r="G1238">
        <f t="shared" si="98"/>
        <v>0.596482225854597</v>
      </c>
    </row>
    <row r="1239" spans="1:7">
      <c r="A1239" s="1">
        <v>40329</v>
      </c>
      <c r="B1239">
        <v>1.2307</v>
      </c>
      <c r="C1239">
        <f t="shared" si="95"/>
        <v>-0.623711065717172</v>
      </c>
      <c r="D1239">
        <f t="shared" si="96"/>
        <v>0.944127480366115</v>
      </c>
      <c r="E1239">
        <f t="shared" si="97"/>
        <v>0.73447454721465</v>
      </c>
      <c r="F1239">
        <f t="shared" si="99"/>
        <v>0.177271480988689</v>
      </c>
      <c r="G1239">
        <f t="shared" si="98"/>
        <v>0.110525745910052</v>
      </c>
    </row>
    <row r="1240" spans="1:7">
      <c r="A1240" s="1">
        <v>40330</v>
      </c>
      <c r="B1240">
        <v>1.2155</v>
      </c>
      <c r="C1240">
        <f t="shared" si="95"/>
        <v>-1.24275984221128</v>
      </c>
      <c r="D1240">
        <f t="shared" si="96"/>
        <v>0.888616281679309</v>
      </c>
      <c r="E1240">
        <f t="shared" si="97"/>
        <v>0.710856849056673</v>
      </c>
      <c r="F1240">
        <f t="shared" si="99"/>
        <v>0.809975895388409</v>
      </c>
      <c r="G1240">
        <f t="shared" si="98"/>
        <v>0.915689151180349</v>
      </c>
    </row>
    <row r="1241" spans="1:7">
      <c r="A1241" s="1">
        <v>40331</v>
      </c>
      <c r="B1241">
        <v>1.2218</v>
      </c>
      <c r="C1241">
        <f t="shared" si="95"/>
        <v>0.51696664594884</v>
      </c>
      <c r="D1241">
        <f t="shared" si="96"/>
        <v>0.954199856052678</v>
      </c>
      <c r="E1241">
        <f t="shared" si="97"/>
        <v>0.746428039383923</v>
      </c>
      <c r="F1241">
        <f t="shared" si="99"/>
        <v>0.116600093506318</v>
      </c>
      <c r="G1241">
        <f t="shared" si="98"/>
        <v>0.0327942574428718</v>
      </c>
    </row>
    <row r="1242" spans="1:7">
      <c r="A1242" s="1">
        <v>40332</v>
      </c>
      <c r="B1242">
        <v>1.2268</v>
      </c>
      <c r="C1242">
        <f t="shared" si="95"/>
        <v>0.40839720244298</v>
      </c>
      <c r="D1242">
        <f t="shared" si="96"/>
        <v>0.88550532174977</v>
      </c>
      <c r="E1242">
        <f t="shared" si="97"/>
        <v>0.716005082672067</v>
      </c>
      <c r="F1242">
        <f t="shared" si="99"/>
        <v>0.0333784842786719</v>
      </c>
      <c r="G1242">
        <f t="shared" si="98"/>
        <v>-0.0505625744150133</v>
      </c>
    </row>
    <row r="1243" spans="1:7">
      <c r="A1243" s="1">
        <v>40333</v>
      </c>
      <c r="B1243">
        <v>1.206</v>
      </c>
      <c r="C1243">
        <f t="shared" si="95"/>
        <v>-1.71000549529656</v>
      </c>
      <c r="D1243">
        <f t="shared" si="96"/>
        <v>0.813633617071118</v>
      </c>
      <c r="E1243">
        <f t="shared" si="97"/>
        <v>0.682384191459906</v>
      </c>
      <c r="F1243">
        <f t="shared" si="99"/>
        <v>1.69382801805951</v>
      </c>
      <c r="G1243">
        <f t="shared" si="98"/>
        <v>1.95149390431197</v>
      </c>
    </row>
    <row r="1244" spans="1:7">
      <c r="A1244" s="1">
        <v>40336</v>
      </c>
      <c r="B1244">
        <v>1.1959</v>
      </c>
      <c r="C1244">
        <f t="shared" si="95"/>
        <v>-0.841005831236895</v>
      </c>
      <c r="D1244">
        <f t="shared" si="96"/>
        <v>1.02468213475845</v>
      </c>
      <c r="E1244">
        <f t="shared" si="97"/>
        <v>0.788647079669533</v>
      </c>
      <c r="F1244">
        <f t="shared" si="99"/>
        <v>0.35731816061157</v>
      </c>
      <c r="G1244">
        <f t="shared" si="98"/>
        <v>0.329702176324776</v>
      </c>
    </row>
    <row r="1245" spans="1:7">
      <c r="A1245" s="1">
        <v>40337</v>
      </c>
      <c r="B1245">
        <v>1.1942</v>
      </c>
      <c r="C1245">
        <f t="shared" si="95"/>
        <v>-0.142253486186978</v>
      </c>
      <c r="D1245">
        <f t="shared" si="96"/>
        <v>0.992943002100051</v>
      </c>
      <c r="E1245">
        <f t="shared" si="97"/>
        <v>0.777692795298084</v>
      </c>
      <c r="F1245">
        <f t="shared" si="99"/>
        <v>0.0066489293928399</v>
      </c>
      <c r="G1245">
        <f t="shared" si="98"/>
        <v>-0.112701535100229</v>
      </c>
    </row>
    <row r="1246" spans="1:7">
      <c r="A1246" s="1">
        <v>40338</v>
      </c>
      <c r="B1246">
        <v>1.201</v>
      </c>
      <c r="C1246">
        <f t="shared" si="95"/>
        <v>0.567803796709152</v>
      </c>
      <c r="D1246">
        <f t="shared" si="96"/>
        <v>0.895672307323281</v>
      </c>
      <c r="E1246">
        <f t="shared" si="97"/>
        <v>0.733043030296817</v>
      </c>
      <c r="F1246">
        <f t="shared" si="99"/>
        <v>0.124886848999877</v>
      </c>
      <c r="G1246">
        <f t="shared" si="98"/>
        <v>0.0646305834498548</v>
      </c>
    </row>
    <row r="1247" spans="1:7">
      <c r="A1247" s="1">
        <v>40339</v>
      </c>
      <c r="B1247">
        <v>1.2045</v>
      </c>
      <c r="C1247">
        <f t="shared" si="95"/>
        <v>0.290999997494237</v>
      </c>
      <c r="D1247">
        <f t="shared" si="96"/>
        <v>0.838345191746685</v>
      </c>
      <c r="E1247">
        <f t="shared" si="97"/>
        <v>0.706180506056874</v>
      </c>
      <c r="F1247">
        <f t="shared" si="99"/>
        <v>-0.0376578186677531</v>
      </c>
      <c r="G1247">
        <f t="shared" si="98"/>
        <v>-0.113985150839317</v>
      </c>
    </row>
    <row r="1248" spans="1:7">
      <c r="A1248" s="1">
        <v>40340</v>
      </c>
      <c r="B1248">
        <v>1.2127</v>
      </c>
      <c r="C1248">
        <f t="shared" si="95"/>
        <v>0.678473560782015</v>
      </c>
      <c r="D1248">
        <f t="shared" si="96"/>
        <v>0.762978772426181</v>
      </c>
      <c r="E1248">
        <f t="shared" si="97"/>
        <v>0.669043725620544</v>
      </c>
      <c r="F1248">
        <f t="shared" si="99"/>
        <v>0.166401410226147</v>
      </c>
      <c r="G1248">
        <f t="shared" si="98"/>
        <v>0.143065221707206</v>
      </c>
    </row>
    <row r="1249" spans="1:7">
      <c r="A1249" s="1">
        <v>40343</v>
      </c>
      <c r="B1249">
        <v>1.2249</v>
      </c>
      <c r="C1249">
        <f t="shared" si="95"/>
        <v>1.00099293308939</v>
      </c>
      <c r="D1249">
        <f t="shared" si="96"/>
        <v>0.732713532451586</v>
      </c>
      <c r="E1249">
        <f t="shared" si="97"/>
        <v>0.652917420717323</v>
      </c>
      <c r="F1249">
        <f t="shared" si="99"/>
        <v>0.528250513877287</v>
      </c>
      <c r="G1249">
        <f t="shared" si="98"/>
        <v>0.554162836524582</v>
      </c>
    </row>
    <row r="1250" spans="1:7">
      <c r="A1250" s="1">
        <v>40344</v>
      </c>
      <c r="B1250">
        <v>1.2258</v>
      </c>
      <c r="C1250">
        <f t="shared" si="95"/>
        <v>0.0734484057991434</v>
      </c>
      <c r="D1250">
        <f t="shared" si="96"/>
        <v>0.759640864415917</v>
      </c>
      <c r="E1250">
        <f t="shared" si="97"/>
        <v>0.664841718079028</v>
      </c>
      <c r="F1250">
        <f t="shared" si="99"/>
        <v>-0.133903950292994</v>
      </c>
      <c r="G1250">
        <f t="shared" si="98"/>
        <v>-0.200046035037603</v>
      </c>
    </row>
    <row r="1251" spans="1:7">
      <c r="A1251" s="1">
        <v>40345</v>
      </c>
      <c r="B1251">
        <v>1.2277</v>
      </c>
      <c r="C1251">
        <f t="shared" si="95"/>
        <v>0.154880813516278</v>
      </c>
      <c r="D1251">
        <f t="shared" si="96"/>
        <v>0.684216244805768</v>
      </c>
      <c r="E1251">
        <f t="shared" si="97"/>
        <v>0.626220948410008</v>
      </c>
      <c r="F1251">
        <f t="shared" si="99"/>
        <v>-0.172211037654659</v>
      </c>
      <c r="G1251">
        <f t="shared" si="98"/>
        <v>-0.214872971388156</v>
      </c>
    </row>
    <row r="1252" spans="1:7">
      <c r="A1252" s="1">
        <v>40346</v>
      </c>
      <c r="B1252">
        <v>1.2363</v>
      </c>
      <c r="C1252">
        <f t="shared" si="95"/>
        <v>0.69805478260871</v>
      </c>
      <c r="D1252">
        <f t="shared" si="96"/>
        <v>0.618193426964738</v>
      </c>
      <c r="E1252">
        <f t="shared" si="97"/>
        <v>0.590847094825181</v>
      </c>
      <c r="F1252">
        <f t="shared" si="99"/>
        <v>0.153639575241637</v>
      </c>
      <c r="G1252">
        <f t="shared" si="98"/>
        <v>0.149258506065169</v>
      </c>
    </row>
    <row r="1253" spans="1:7">
      <c r="A1253" s="1">
        <v>40347</v>
      </c>
      <c r="B1253">
        <v>1.2372</v>
      </c>
      <c r="C1253">
        <f t="shared" si="95"/>
        <v>0.0727713798033223</v>
      </c>
      <c r="D1253">
        <f t="shared" si="96"/>
        <v>0.605102132220553</v>
      </c>
      <c r="E1253">
        <f t="shared" si="97"/>
        <v>0.580760293111814</v>
      </c>
      <c r="F1253">
        <f t="shared" si="99"/>
        <v>-0.246803159658655</v>
      </c>
      <c r="G1253">
        <f t="shared" si="98"/>
        <v>-0.267149332373391</v>
      </c>
    </row>
    <row r="1254" spans="1:7">
      <c r="A1254" s="1">
        <v>40350</v>
      </c>
      <c r="B1254">
        <v>1.2391</v>
      </c>
      <c r="C1254">
        <f t="shared" si="95"/>
        <v>0.153454781153265</v>
      </c>
      <c r="D1254">
        <f t="shared" si="96"/>
        <v>0.545121486370346</v>
      </c>
      <c r="E1254">
        <f t="shared" si="97"/>
        <v>0.54717945921103</v>
      </c>
      <c r="F1254">
        <f t="shared" si="99"/>
        <v>-0.28177410484257</v>
      </c>
      <c r="G1254">
        <f t="shared" si="98"/>
        <v>-0.279971267122737</v>
      </c>
    </row>
    <row r="1255" spans="1:7">
      <c r="A1255" s="1">
        <v>40351</v>
      </c>
      <c r="B1255">
        <v>1.2258</v>
      </c>
      <c r="C1255">
        <f t="shared" si="95"/>
        <v>-1.07916175708159</v>
      </c>
      <c r="D1255">
        <f t="shared" si="96"/>
        <v>0.492964174719191</v>
      </c>
      <c r="E1255">
        <f t="shared" si="97"/>
        <v>0.516526110151308</v>
      </c>
      <c r="F1255">
        <f t="shared" si="99"/>
        <v>0.827552308429158</v>
      </c>
      <c r="G1255">
        <f t="shared" si="98"/>
        <v>0.797014639792153</v>
      </c>
    </row>
    <row r="1256" spans="1:7">
      <c r="A1256" s="1">
        <v>40352</v>
      </c>
      <c r="B1256">
        <v>1.2271</v>
      </c>
      <c r="C1256">
        <f t="shared" si="95"/>
        <v>0.105996993087074</v>
      </c>
      <c r="D1256">
        <f t="shared" si="96"/>
        <v>0.560126767042014</v>
      </c>
      <c r="E1256">
        <f t="shared" si="97"/>
        <v>0.5447640484396</v>
      </c>
      <c r="F1256">
        <f t="shared" si="99"/>
        <v>-0.279766772207429</v>
      </c>
      <c r="G1256">
        <f t="shared" si="98"/>
        <v>-0.293389121772735</v>
      </c>
    </row>
    <row r="1257" spans="1:7">
      <c r="A1257" s="1">
        <v>40353</v>
      </c>
      <c r="B1257">
        <v>1.2262</v>
      </c>
      <c r="C1257">
        <f t="shared" si="95"/>
        <v>-0.0733705653914639</v>
      </c>
      <c r="D1257">
        <f t="shared" si="96"/>
        <v>0.505237626592163</v>
      </c>
      <c r="E1257">
        <f t="shared" si="97"/>
        <v>0.513639973660399</v>
      </c>
      <c r="F1257">
        <f t="shared" si="99"/>
        <v>-0.336035772686629</v>
      </c>
      <c r="G1257">
        <f t="shared" si="98"/>
        <v>-0.327876064486991</v>
      </c>
    </row>
    <row r="1258" spans="1:7">
      <c r="A1258" s="1">
        <v>40354</v>
      </c>
      <c r="B1258">
        <v>1.2294</v>
      </c>
      <c r="C1258">
        <f t="shared" si="95"/>
        <v>0.260628914432167</v>
      </c>
      <c r="D1258">
        <f t="shared" si="96"/>
        <v>0.455252187919533</v>
      </c>
      <c r="E1258">
        <f t="shared" si="97"/>
        <v>0.484090737234068</v>
      </c>
      <c r="F1258">
        <f t="shared" si="99"/>
        <v>-0.31884769864247</v>
      </c>
      <c r="G1258">
        <f t="shared" si="98"/>
        <v>-0.29258164527213</v>
      </c>
    </row>
    <row r="1259" spans="1:7">
      <c r="A1259" s="1">
        <v>40357</v>
      </c>
      <c r="B1259">
        <v>1.2339</v>
      </c>
      <c r="C1259">
        <f t="shared" si="95"/>
        <v>0.365363943157903</v>
      </c>
      <c r="D1259">
        <f t="shared" si="96"/>
        <v>0.416519712231389</v>
      </c>
      <c r="E1259">
        <f t="shared" si="97"/>
        <v>0.459441664551929</v>
      </c>
      <c r="F1259">
        <f t="shared" si="99"/>
        <v>-0.277665254867144</v>
      </c>
      <c r="G1259">
        <f t="shared" si="98"/>
        <v>-0.243596611272779</v>
      </c>
    </row>
    <row r="1260" spans="1:7">
      <c r="A1260" s="1">
        <v>40358</v>
      </c>
      <c r="B1260">
        <v>1.2198</v>
      </c>
      <c r="C1260">
        <f t="shared" si="95"/>
        <v>-1.14929740421321</v>
      </c>
      <c r="D1260">
        <f t="shared" si="96"/>
        <v>0.388216822104239</v>
      </c>
      <c r="E1260">
        <f t="shared" si="97"/>
        <v>0.439549705226808</v>
      </c>
      <c r="F1260">
        <f t="shared" si="99"/>
        <v>1.22812446412371</v>
      </c>
      <c r="G1260">
        <f t="shared" si="98"/>
        <v>1.09154060164539</v>
      </c>
    </row>
    <row r="1261" spans="1:7">
      <c r="A1261" s="1">
        <v>40359</v>
      </c>
      <c r="B1261">
        <v>1.2271</v>
      </c>
      <c r="C1261">
        <f t="shared" si="95"/>
        <v>0.596675112014626</v>
      </c>
      <c r="D1261">
        <f t="shared" si="96"/>
        <v>0.481483592226938</v>
      </c>
      <c r="E1261">
        <f t="shared" si="97"/>
        <v>0.480220949079761</v>
      </c>
      <c r="F1261">
        <f t="shared" si="99"/>
        <v>0.00427112884755437</v>
      </c>
      <c r="G1261">
        <f t="shared" si="98"/>
        <v>0.00393029018950225</v>
      </c>
    </row>
    <row r="1262" spans="1:7">
      <c r="A1262" s="1">
        <v>40360</v>
      </c>
      <c r="B1262">
        <v>1.2328</v>
      </c>
      <c r="C1262">
        <f t="shared" si="95"/>
        <v>0.463434302340369</v>
      </c>
      <c r="D1262">
        <f t="shared" si="96"/>
        <v>0.468937351934011</v>
      </c>
      <c r="E1262">
        <f t="shared" si="97"/>
        <v>0.470208751599858</v>
      </c>
      <c r="F1262">
        <f t="shared" si="99"/>
        <v>-0.149645132785798</v>
      </c>
      <c r="G1262">
        <f t="shared" si="98"/>
        <v>-0.148910537893164</v>
      </c>
    </row>
    <row r="1263" spans="1:7">
      <c r="A1263" s="1">
        <v>40361</v>
      </c>
      <c r="B1263">
        <v>1.2548</v>
      </c>
      <c r="C1263">
        <f t="shared" si="95"/>
        <v>1.76881923106172</v>
      </c>
      <c r="D1263">
        <f t="shared" si="96"/>
        <v>0.44352075199918</v>
      </c>
      <c r="E1263">
        <f t="shared" si="97"/>
        <v>0.453734794133152</v>
      </c>
      <c r="F1263">
        <f t="shared" si="99"/>
        <v>3.12063680048824</v>
      </c>
      <c r="G1263">
        <f t="shared" si="98"/>
        <v>3.05262130302745</v>
      </c>
    </row>
    <row r="1264" spans="1:7">
      <c r="A1264" s="1">
        <v>40364</v>
      </c>
      <c r="B1264">
        <v>1.2531</v>
      </c>
      <c r="C1264">
        <f t="shared" si="95"/>
        <v>-0.135571614528364</v>
      </c>
      <c r="D1264">
        <f t="shared" si="96"/>
        <v>0.712040824016638</v>
      </c>
      <c r="E1264">
        <f t="shared" si="97"/>
        <v>0.583946780093851</v>
      </c>
      <c r="F1264">
        <f t="shared" si="99"/>
        <v>-0.156903689588471</v>
      </c>
      <c r="G1264">
        <f t="shared" si="98"/>
        <v>-0.253235268431886</v>
      </c>
    </row>
    <row r="1265" spans="1:7">
      <c r="A1265" s="1">
        <v>40365</v>
      </c>
      <c r="B1265">
        <v>1.2579</v>
      </c>
      <c r="C1265">
        <f t="shared" si="95"/>
        <v>0.382318267358717</v>
      </c>
      <c r="D1265">
        <f t="shared" si="96"/>
        <v>0.642674707881557</v>
      </c>
      <c r="E1265">
        <f t="shared" si="97"/>
        <v>0.550828956421511</v>
      </c>
      <c r="F1265">
        <f t="shared" si="99"/>
        <v>-0.107340373630686</v>
      </c>
      <c r="G1265">
        <f t="shared" si="98"/>
        <v>-0.165486119373454</v>
      </c>
    </row>
    <row r="1266" spans="1:7">
      <c r="A1266" s="1">
        <v>40366</v>
      </c>
      <c r="B1266">
        <v>1.2567</v>
      </c>
      <c r="C1266">
        <f t="shared" si="95"/>
        <v>-0.0954426223727842</v>
      </c>
      <c r="D1266">
        <f t="shared" si="96"/>
        <v>0.593023962849018</v>
      </c>
      <c r="E1266">
        <f t="shared" si="97"/>
        <v>0.526087581914029</v>
      </c>
      <c r="F1266">
        <f t="shared" si="99"/>
        <v>-0.253579859517606</v>
      </c>
      <c r="G1266">
        <f t="shared" si="98"/>
        <v>-0.31248620394602</v>
      </c>
    </row>
    <row r="1267" spans="1:7">
      <c r="A1267" s="1">
        <v>40367</v>
      </c>
      <c r="B1267">
        <v>1.266</v>
      </c>
      <c r="C1267">
        <f t="shared" si="95"/>
        <v>0.737308608302266</v>
      </c>
      <c r="D1267">
        <f t="shared" si="96"/>
        <v>0.534632495980656</v>
      </c>
      <c r="E1267">
        <f t="shared" si="97"/>
        <v>0.495977791707457</v>
      </c>
      <c r="F1267">
        <f t="shared" si="99"/>
        <v>0.195321190316141</v>
      </c>
      <c r="G1267">
        <f t="shared" si="98"/>
        <v>0.197420522281557</v>
      </c>
    </row>
    <row r="1268" spans="1:7">
      <c r="A1268" s="1">
        <v>40368</v>
      </c>
      <c r="B1268">
        <v>1.2637</v>
      </c>
      <c r="C1268">
        <f t="shared" si="95"/>
        <v>-0.181839793948641</v>
      </c>
      <c r="D1268">
        <f t="shared" si="96"/>
        <v>0.535531644770253</v>
      </c>
      <c r="E1268">
        <f t="shared" si="97"/>
        <v>0.494400323398841</v>
      </c>
      <c r="F1268">
        <f t="shared" si="99"/>
        <v>-0.281375793395864</v>
      </c>
      <c r="G1268">
        <f t="shared" si="98"/>
        <v>-0.318764639864956</v>
      </c>
    </row>
    <row r="1269" spans="1:7">
      <c r="A1269" s="1">
        <v>40371</v>
      </c>
      <c r="B1269">
        <v>1.2572</v>
      </c>
      <c r="C1269">
        <f t="shared" si="95"/>
        <v>-0.515689984122251</v>
      </c>
      <c r="D1269">
        <f t="shared" si="96"/>
        <v>0.485285051359556</v>
      </c>
      <c r="E1269">
        <f t="shared" si="97"/>
        <v>0.467389589528074</v>
      </c>
      <c r="F1269">
        <f t="shared" si="99"/>
        <v>-0.0875094628548219</v>
      </c>
      <c r="G1269">
        <f t="shared" si="98"/>
        <v>-0.095805176079928</v>
      </c>
    </row>
    <row r="1270" spans="1:7">
      <c r="A1270" s="1">
        <v>40372</v>
      </c>
      <c r="B1270">
        <v>1.2569</v>
      </c>
      <c r="C1270">
        <f t="shared" si="95"/>
        <v>-0.023865399262092</v>
      </c>
      <c r="D1270">
        <f t="shared" si="96"/>
        <v>0.463350162196001</v>
      </c>
      <c r="E1270">
        <f t="shared" si="97"/>
        <v>0.45364302214259</v>
      </c>
      <c r="F1270">
        <f t="shared" si="99"/>
        <v>-0.38402150261237</v>
      </c>
      <c r="G1270">
        <f t="shared" si="98"/>
        <v>-0.394594583203481</v>
      </c>
    </row>
    <row r="1271" spans="1:7">
      <c r="A1271" s="1">
        <v>40373</v>
      </c>
      <c r="B1271">
        <v>1.2703</v>
      </c>
      <c r="C1271">
        <f t="shared" si="95"/>
        <v>1.06047210986232</v>
      </c>
      <c r="D1271">
        <f t="shared" si="96"/>
        <v>0.417072101704595</v>
      </c>
      <c r="E1271">
        <f t="shared" si="97"/>
        <v>0.427452918678132</v>
      </c>
      <c r="F1271">
        <f t="shared" si="99"/>
        <v>0.910961364536746</v>
      </c>
      <c r="G1271">
        <f t="shared" si="98"/>
        <v>0.890512229617141</v>
      </c>
    </row>
    <row r="1272" spans="1:7">
      <c r="A1272" s="1">
        <v>40374</v>
      </c>
      <c r="B1272">
        <v>1.2828</v>
      </c>
      <c r="C1272">
        <f t="shared" si="95"/>
        <v>0.979209578958479</v>
      </c>
      <c r="D1272">
        <f t="shared" si="96"/>
        <v>0.48782500111372</v>
      </c>
      <c r="E1272">
        <f t="shared" si="97"/>
        <v>0.459035798347236</v>
      </c>
      <c r="F1272">
        <f t="shared" si="99"/>
        <v>0.623882871645928</v>
      </c>
      <c r="G1272">
        <f t="shared" si="98"/>
        <v>0.655105438882155</v>
      </c>
    </row>
    <row r="1273" spans="1:7">
      <c r="A1273" s="1">
        <v>40375</v>
      </c>
      <c r="B1273">
        <v>1.3</v>
      </c>
      <c r="C1273">
        <f t="shared" si="95"/>
        <v>1.33190756306283</v>
      </c>
      <c r="D1273">
        <f t="shared" si="96"/>
        <v>0.534927640954752</v>
      </c>
      <c r="E1273">
        <f t="shared" si="97"/>
        <v>0.480436220422604</v>
      </c>
      <c r="F1273">
        <f t="shared" si="99"/>
        <v>1.34533550641563</v>
      </c>
      <c r="G1273">
        <f t="shared" si="98"/>
        <v>1.47968527174181</v>
      </c>
    </row>
    <row r="1274" spans="1:7">
      <c r="A1274" s="1">
        <v>40378</v>
      </c>
      <c r="B1274">
        <v>1.2957</v>
      </c>
      <c r="C1274">
        <f t="shared" si="95"/>
        <v>-0.33131748148629</v>
      </c>
      <c r="D1274">
        <f t="shared" si="96"/>
        <v>0.658832652513674</v>
      </c>
      <c r="E1274">
        <f t="shared" si="97"/>
        <v>0.541308935024446</v>
      </c>
      <c r="F1274">
        <f t="shared" si="99"/>
        <v>-0.125335456937116</v>
      </c>
      <c r="G1274">
        <f t="shared" si="98"/>
        <v>-0.205488266341544</v>
      </c>
    </row>
    <row r="1275" spans="1:7">
      <c r="A1275" s="1">
        <v>40379</v>
      </c>
      <c r="B1275">
        <v>1.2844</v>
      </c>
      <c r="C1275">
        <f t="shared" si="95"/>
        <v>-0.875940641940632</v>
      </c>
      <c r="D1275">
        <f t="shared" si="96"/>
        <v>0.603926514616149</v>
      </c>
      <c r="E1275">
        <f t="shared" si="97"/>
        <v>0.5153189625999</v>
      </c>
      <c r="F1275">
        <f t="shared" si="99"/>
        <v>0.383084856418138</v>
      </c>
      <c r="G1275">
        <f t="shared" si="98"/>
        <v>0.412978587767282</v>
      </c>
    </row>
    <row r="1276" spans="1:7">
      <c r="A1276" s="1">
        <v>40380</v>
      </c>
      <c r="B1276">
        <v>1.2817</v>
      </c>
      <c r="C1276">
        <f t="shared" si="95"/>
        <v>-0.210436147958048</v>
      </c>
      <c r="D1276">
        <f t="shared" si="96"/>
        <v>0.62026106397487</v>
      </c>
      <c r="E1276">
        <f t="shared" si="97"/>
        <v>0.523763425254075</v>
      </c>
      <c r="F1276">
        <f t="shared" si="99"/>
        <v>-0.203110043373115</v>
      </c>
      <c r="G1276">
        <f t="shared" si="98"/>
        <v>-0.281083375361815</v>
      </c>
    </row>
    <row r="1277" spans="1:7">
      <c r="A1277" s="1">
        <v>40381</v>
      </c>
      <c r="B1277">
        <v>1.285</v>
      </c>
      <c r="C1277">
        <f t="shared" si="95"/>
        <v>0.257139659354164</v>
      </c>
      <c r="D1277">
        <f t="shared" si="96"/>
        <v>0.562663294814125</v>
      </c>
      <c r="E1277">
        <f t="shared" si="97"/>
        <v>0.495551788357201</v>
      </c>
      <c r="F1277">
        <f t="shared" si="99"/>
        <v>-0.228779951469372</v>
      </c>
      <c r="G1277">
        <f t="shared" si="98"/>
        <v>-0.284327383379644</v>
      </c>
    </row>
    <row r="1278" spans="1:7">
      <c r="A1278" s="1">
        <v>40382</v>
      </c>
      <c r="B1278">
        <v>1.2897</v>
      </c>
      <c r="C1278">
        <f t="shared" si="95"/>
        <v>0.365091484102545</v>
      </c>
      <c r="D1278">
        <f t="shared" si="96"/>
        <v>0.513009045773991</v>
      </c>
      <c r="E1278">
        <f t="shared" si="97"/>
        <v>0.470124721276408</v>
      </c>
      <c r="F1278">
        <f t="shared" si="99"/>
        <v>-0.203819164123981</v>
      </c>
      <c r="G1278">
        <f t="shared" si="98"/>
        <v>-0.235616467691999</v>
      </c>
    </row>
    <row r="1279" spans="1:7">
      <c r="A1279" s="1">
        <v>40385</v>
      </c>
      <c r="B1279">
        <v>1.2931</v>
      </c>
      <c r="C1279">
        <f t="shared" si="95"/>
        <v>0.263280313146028</v>
      </c>
      <c r="D1279">
        <f t="shared" si="96"/>
        <v>0.475037320373011</v>
      </c>
      <c r="E1279">
        <f t="shared" si="97"/>
        <v>0.449581827588033</v>
      </c>
      <c r="F1279">
        <f t="shared" si="99"/>
        <v>-0.299221925388603</v>
      </c>
      <c r="G1279">
        <f t="shared" si="98"/>
        <v>-0.322628703353687</v>
      </c>
    </row>
    <row r="1280" spans="1:7">
      <c r="A1280" s="1">
        <v>40386</v>
      </c>
      <c r="B1280">
        <v>1.3033</v>
      </c>
      <c r="C1280">
        <f t="shared" si="95"/>
        <v>0.785707323486816</v>
      </c>
      <c r="D1280">
        <f t="shared" si="96"/>
        <v>0.434465240664737</v>
      </c>
      <c r="E1280">
        <f t="shared" si="97"/>
        <v>0.427072744097265</v>
      </c>
      <c r="F1280">
        <f t="shared" si="99"/>
        <v>0.293635324048819</v>
      </c>
      <c r="G1280">
        <f t="shared" si="98"/>
        <v>0.297352287603472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Euro_USD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WPS_1602328261</cp:lastModifiedBy>
  <dcterms:created xsi:type="dcterms:W3CDTF">2026-06-06T16:12:00Z</dcterms:created>
  <dcterms:modified xsi:type="dcterms:W3CDTF">2026-06-06T23:05:34Z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762F33F5DC2022ECAA3D246A9854B0D7_43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