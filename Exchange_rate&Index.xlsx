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60" windowHeight="11580"/>
  </bookViews>
  <sheets>
    <sheet name="Exchange_rate&amp;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tony</author>
  </authors>
  <commentList>
    <comment ref="H1" authorId="0">
      <text>
        <r>
          <rPr>
            <b/>
            <sz val="9"/>
            <rFont val="宋体"/>
            <charset val="0"/>
          </rPr>
          <t>tony:</t>
        </r>
        <r>
          <rPr>
            <sz val="9"/>
            <rFont val="宋体"/>
            <charset val="0"/>
          </rPr>
          <t xml:space="preserve">
trial lambda</t>
        </r>
      </text>
    </comment>
    <comment ref="G3" authorId="0">
      <text>
        <r>
          <rPr>
            <b/>
            <sz val="9"/>
            <rFont val="宋体"/>
            <charset val="0"/>
          </rPr>
          <t>tony:</t>
        </r>
        <r>
          <rPr>
            <sz val="9"/>
            <rFont val="宋体"/>
            <charset val="0"/>
          </rPr>
          <t xml:space="preserve">
Use the solver in Python to change lambda until the SSE for S&amp;P 500 is minimised, and do the same thing for Euro.</t>
        </r>
      </text>
    </comment>
  </commentList>
</comments>
</file>

<file path=xl/sharedStrings.xml><?xml version="1.0" encoding="utf-8"?>
<sst xmlns="http://schemas.openxmlformats.org/spreadsheetml/2006/main" count="7" uniqueCount="7">
  <si>
    <t>Euro</t>
  </si>
  <si>
    <t>S&amp;P 500</t>
  </si>
  <si>
    <t>Return</t>
  </si>
  <si>
    <t>EWMA variance forecast</t>
  </si>
  <si>
    <t>Future 26-day variance</t>
  </si>
  <si>
    <t>Squared error</t>
  </si>
  <si>
    <t>Sum squared 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</si>
</sst>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tabSelected="1" zoomScaleSheetLayoutView="60" workbookViewId="0">
      <selection activeCell="G3" sqref="G3"/>
    </sheetView>
  </sheetViews>
  <sheetFormatPr defaultColWidth="10.3846153846154" defaultRowHeight="16.8" outlineLevelCol="7"/>
  <cols>
    <col min="3" max="3" width="14.0769230769231"/>
    <col min="4" max="7" width="12.9230769230769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0.5</v>
      </c>
    </row>
    <row r="2" spans="1:8">
      <c r="A2">
        <v>1.2015</v>
      </c>
      <c r="B2">
        <v>1300.25</v>
      </c>
    </row>
    <row r="3" spans="1:8">
      <c r="A3">
        <v>1.2078</v>
      </c>
      <c r="B3">
        <v>1294.87</v>
      </c>
      <c r="C3">
        <f>LN(B3/B2)</f>
        <v>-0.0041462496589517</v>
      </c>
      <c r="D3">
        <f>C3^2</f>
        <v>1.71913862343571e-5</v>
      </c>
      <c r="E3">
        <f>_xlfn.VAR.S(C3:C28)</f>
        <v>3.10691209924032e-5</v>
      </c>
      <c r="F3">
        <f>(D3-E3)^2</f>
        <v>1.92591522014682e-10</v>
      </c>
      <c r="G3">
        <f>SUM(F3:F976)</f>
        <v>0.000235363011624741</v>
      </c>
    </row>
    <row r="4" spans="1:8">
      <c r="A4">
        <v>1.203</v>
      </c>
      <c r="B4">
        <v>1297.81</v>
      </c>
      <c r="C4">
        <f t="shared" ref="C4:C67" si="0">LN(B4/B3)</f>
        <v>0.00226792451066314</v>
      </c>
      <c r="D4">
        <f>$H$1*D3+(1-$H$1)*C3^2</f>
        <v>1.71913862343571e-5</v>
      </c>
      <c r="E4">
        <f t="shared" ref="E4:E67" si="1">_xlfn.VAR.S(C4:C29)</f>
        <v>3.00974263889887e-5</v>
      </c>
      <c r="F4">
        <f t="shared" ref="F4:F67" si="2">(D4-E4)^2</f>
        <v>1.66565872472964e-10</v>
      </c>
    </row>
    <row r="5" spans="1:8">
      <c r="A5">
        <v>1.2132</v>
      </c>
      <c r="B5">
        <v>1305.93</v>
      </c>
      <c r="C5">
        <f t="shared" si="0"/>
        <v>0.0062372021201325</v>
      </c>
      <c r="D5">
        <f t="shared" ref="D5:D68" si="3">$H$1*D4+(1-$H$1)*C4^2</f>
        <v>1.11674339102119e-5</v>
      </c>
      <c r="E5">
        <f t="shared" si="1"/>
        <v>3.0270993456434e-5</v>
      </c>
      <c r="F5">
        <f t="shared" si="2"/>
        <v>3.64945987336053e-10</v>
      </c>
    </row>
    <row r="6" spans="1:8">
      <c r="A6">
        <v>1.2139</v>
      </c>
      <c r="B6">
        <v>1311.56</v>
      </c>
      <c r="C6">
        <f t="shared" si="0"/>
        <v>0.0043018377776463</v>
      </c>
      <c r="D6">
        <f t="shared" si="3"/>
        <v>2.50350620987986e-5</v>
      </c>
      <c r="E6">
        <f t="shared" si="1"/>
        <v>3.59132606191372e-5</v>
      </c>
      <c r="F6">
        <f t="shared" si="2"/>
        <v>1.18335203047898e-10</v>
      </c>
    </row>
    <row r="7" spans="1:8">
      <c r="A7">
        <v>1.2124</v>
      </c>
      <c r="B7">
        <v>1309.04</v>
      </c>
      <c r="C7">
        <f t="shared" si="0"/>
        <v>-0.00192322428203177</v>
      </c>
      <c r="D7">
        <f t="shared" si="3"/>
        <v>2.17704351819917e-5</v>
      </c>
      <c r="E7">
        <f t="shared" si="1"/>
        <v>3.99098616766675e-5</v>
      </c>
      <c r="F7">
        <f t="shared" si="2"/>
        <v>3.29038793555746e-10</v>
      </c>
    </row>
    <row r="8" spans="1:8">
      <c r="A8">
        <v>1.2258</v>
      </c>
      <c r="B8">
        <v>1295.5</v>
      </c>
      <c r="C8">
        <f t="shared" si="0"/>
        <v>-0.0103973231184754</v>
      </c>
      <c r="D8">
        <f t="shared" si="3"/>
        <v>1.27346134104942e-5</v>
      </c>
      <c r="E8">
        <f t="shared" si="1"/>
        <v>4.01993827354561e-5</v>
      </c>
      <c r="F8">
        <f t="shared" si="2"/>
        <v>7.54313554073368e-10</v>
      </c>
    </row>
    <row r="9" spans="1:8">
      <c r="A9">
        <v>1.2272</v>
      </c>
      <c r="B9">
        <v>1296.62</v>
      </c>
      <c r="C9">
        <f t="shared" si="0"/>
        <v>0.000864157577348394</v>
      </c>
      <c r="D9">
        <f t="shared" si="3"/>
        <v>6.04194707202386e-5</v>
      </c>
      <c r="E9">
        <f t="shared" si="1"/>
        <v>3.61964504917898e-5</v>
      </c>
      <c r="F9">
        <f t="shared" si="2"/>
        <v>5.86754708987839e-10</v>
      </c>
    </row>
    <row r="10" spans="1:8">
      <c r="A10">
        <v>1.2216</v>
      </c>
      <c r="B10">
        <v>1286.57</v>
      </c>
      <c r="C10">
        <f t="shared" si="0"/>
        <v>-0.00778111614478989</v>
      </c>
      <c r="D10">
        <f t="shared" si="3"/>
        <v>3.05831195193636e-5</v>
      </c>
      <c r="E10">
        <f t="shared" si="1"/>
        <v>4.70702034851962e-5</v>
      </c>
      <c r="F10">
        <f t="shared" si="2"/>
        <v>2.71823937696415e-10</v>
      </c>
    </row>
    <row r="11" spans="1:8">
      <c r="A11">
        <v>1.2109</v>
      </c>
      <c r="B11">
        <v>1288.12</v>
      </c>
      <c r="C11">
        <f t="shared" si="0"/>
        <v>0.00120402859159821</v>
      </c>
      <c r="D11">
        <f t="shared" si="3"/>
        <v>4.55644439890368e-5</v>
      </c>
      <c r="E11">
        <f t="shared" si="1"/>
        <v>4.65206657443315e-5</v>
      </c>
      <c r="F11">
        <f t="shared" si="2"/>
        <v>9.14360045298952e-13</v>
      </c>
    </row>
    <row r="12" spans="1:8">
      <c r="A12">
        <v>1.2091</v>
      </c>
      <c r="B12">
        <v>1289.12</v>
      </c>
      <c r="C12">
        <f t="shared" si="0"/>
        <v>0.000776024002564425</v>
      </c>
      <c r="D12">
        <f t="shared" si="3"/>
        <v>2.35070644192114e-5</v>
      </c>
      <c r="E12">
        <f t="shared" si="1"/>
        <v>4.7306117196096e-5</v>
      </c>
      <c r="F12">
        <f t="shared" si="2"/>
        <v>5.66394913076941e-10</v>
      </c>
    </row>
    <row r="13" spans="1:8">
      <c r="A13">
        <v>1.2125</v>
      </c>
      <c r="B13">
        <v>1285.33</v>
      </c>
      <c r="C13">
        <f t="shared" si="0"/>
        <v>-0.00294432033091782</v>
      </c>
      <c r="D13">
        <f t="shared" si="3"/>
        <v>1.20546388358837e-5</v>
      </c>
      <c r="E13">
        <f t="shared" si="1"/>
        <v>4.7624808928657e-5</v>
      </c>
      <c r="F13">
        <f t="shared" si="2"/>
        <v>1.26523700042882e-9</v>
      </c>
    </row>
    <row r="14" spans="1:8">
      <c r="A14">
        <v>1.2107</v>
      </c>
      <c r="B14">
        <v>1307.28</v>
      </c>
      <c r="C14">
        <f t="shared" si="0"/>
        <v>0.0169331480455609</v>
      </c>
      <c r="D14">
        <f t="shared" si="3"/>
        <v>1.03618305234699e-5</v>
      </c>
      <c r="E14">
        <f t="shared" si="1"/>
        <v>4.79428304573173e-5</v>
      </c>
      <c r="F14">
        <f t="shared" si="2"/>
        <v>1.41233155602784e-9</v>
      </c>
    </row>
    <row r="15" spans="1:8">
      <c r="A15">
        <v>1.2107</v>
      </c>
      <c r="B15">
        <v>1309.93</v>
      </c>
      <c r="C15">
        <f t="shared" si="0"/>
        <v>0.00202505790945822</v>
      </c>
      <c r="D15">
        <f t="shared" si="3"/>
        <v>0.000148546666628176</v>
      </c>
      <c r="E15">
        <f t="shared" si="1"/>
        <v>3.51427063983636e-5</v>
      </c>
      <c r="F15">
        <f t="shared" si="2"/>
        <v>1.2860458195805e-8</v>
      </c>
    </row>
    <row r="16" spans="1:8">
      <c r="A16">
        <v>1.2106</v>
      </c>
      <c r="B16">
        <v>1311.46</v>
      </c>
      <c r="C16">
        <f t="shared" si="0"/>
        <v>0.00116731976068886</v>
      </c>
      <c r="D16">
        <f t="shared" si="3"/>
        <v>7.63237630824179e-5</v>
      </c>
      <c r="E16">
        <f t="shared" si="1"/>
        <v>4.10434458999554e-5</v>
      </c>
      <c r="F16">
        <f t="shared" si="2"/>
        <v>1.24470078049516e-9</v>
      </c>
    </row>
    <row r="17" spans="1:6">
      <c r="A17">
        <v>1.2267</v>
      </c>
      <c r="B17">
        <v>1311.28</v>
      </c>
      <c r="C17">
        <f t="shared" si="0"/>
        <v>-0.000137261032571034</v>
      </c>
      <c r="D17">
        <f t="shared" si="3"/>
        <v>3.88431992530563e-5</v>
      </c>
      <c r="E17">
        <f t="shared" si="1"/>
        <v>4.26586888195695e-5</v>
      </c>
      <c r="F17">
        <f t="shared" si="2"/>
        <v>1.45579606321712e-11</v>
      </c>
    </row>
    <row r="18" spans="1:6">
      <c r="A18">
        <v>1.2274</v>
      </c>
      <c r="B18">
        <v>1308.11</v>
      </c>
      <c r="C18">
        <f t="shared" si="0"/>
        <v>-0.00242041204066016</v>
      </c>
      <c r="D18">
        <f t="shared" si="3"/>
        <v>1.94310199220594e-5</v>
      </c>
      <c r="E18">
        <f t="shared" si="1"/>
        <v>5.13046720623234e-5</v>
      </c>
      <c r="F18">
        <f t="shared" si="2"/>
        <v>1.01592970075856e-9</v>
      </c>
    </row>
    <row r="19" spans="1:6">
      <c r="A19">
        <v>1.2345</v>
      </c>
      <c r="B19">
        <v>1301.74</v>
      </c>
      <c r="C19">
        <f t="shared" si="0"/>
        <v>-0.00488151629352592</v>
      </c>
      <c r="D19">
        <f t="shared" si="3"/>
        <v>1.2644707184316e-5</v>
      </c>
      <c r="E19">
        <f t="shared" si="1"/>
        <v>5.48037948050601e-5</v>
      </c>
      <c r="F19">
        <f t="shared" si="2"/>
        <v>1.77738866901357e-9</v>
      </c>
    </row>
    <row r="20" spans="1:6">
      <c r="A20">
        <v>1.2326</v>
      </c>
      <c r="B20">
        <v>1305.41</v>
      </c>
      <c r="C20">
        <f t="shared" si="0"/>
        <v>0.00281533661206419</v>
      </c>
      <c r="D20">
        <f t="shared" si="3"/>
        <v>1.82369542541375e-5</v>
      </c>
      <c r="E20">
        <f t="shared" si="1"/>
        <v>6.0929264179575e-5</v>
      </c>
      <c r="F20">
        <f t="shared" si="2"/>
        <v>1.8226333267696e-9</v>
      </c>
    </row>
    <row r="21" spans="1:6">
      <c r="A21">
        <v>1.234</v>
      </c>
      <c r="B21">
        <v>1309.72</v>
      </c>
      <c r="C21">
        <f t="shared" si="0"/>
        <v>0.00329620623245218</v>
      </c>
      <c r="D21">
        <f t="shared" si="3"/>
        <v>1.30815372466833e-5</v>
      </c>
      <c r="E21">
        <f t="shared" si="1"/>
        <v>6.07302401840578e-5</v>
      </c>
      <c r="F21">
        <f t="shared" si="2"/>
        <v>2.27039889161416e-9</v>
      </c>
    </row>
    <row r="22" spans="1:6">
      <c r="A22">
        <v>1.2373</v>
      </c>
      <c r="B22">
        <v>1310.61</v>
      </c>
      <c r="C22">
        <f t="shared" si="0"/>
        <v>0.000679303777939769</v>
      </c>
      <c r="D22">
        <f t="shared" si="3"/>
        <v>1.197325638677e-5</v>
      </c>
      <c r="E22">
        <f t="shared" si="1"/>
        <v>7.16361133491849e-5</v>
      </c>
      <c r="F22">
        <f t="shared" si="2"/>
        <v>3.55965650091758e-9</v>
      </c>
    </row>
    <row r="23" spans="1:6">
      <c r="A23">
        <v>1.2412</v>
      </c>
      <c r="B23">
        <v>1305.19</v>
      </c>
      <c r="C23">
        <f t="shared" si="0"/>
        <v>-0.00414405364060774</v>
      </c>
      <c r="D23">
        <f t="shared" si="3"/>
        <v>6.2173550047466e-6</v>
      </c>
      <c r="E23">
        <f t="shared" si="1"/>
        <v>7.1471379941697e-5</v>
      </c>
      <c r="F23">
        <f t="shared" si="2"/>
        <v>4.25808777047215e-9</v>
      </c>
    </row>
    <row r="24" spans="1:6">
      <c r="A24">
        <v>1.2464</v>
      </c>
      <c r="B24">
        <v>1313.21</v>
      </c>
      <c r="C24">
        <f t="shared" si="0"/>
        <v>0.00612589755596992</v>
      </c>
      <c r="D24">
        <f t="shared" si="3"/>
        <v>1.16952677904904e-5</v>
      </c>
      <c r="E24">
        <f t="shared" si="1"/>
        <v>7.20524470183729e-5</v>
      </c>
      <c r="F24">
        <f t="shared" si="2"/>
        <v>3.64298908434673e-9</v>
      </c>
    </row>
    <row r="25" spans="1:6">
      <c r="A25">
        <v>1.2525</v>
      </c>
      <c r="B25">
        <v>1308.12</v>
      </c>
      <c r="C25">
        <f t="shared" si="0"/>
        <v>-0.00388352965646935</v>
      </c>
      <c r="D25">
        <f t="shared" si="3"/>
        <v>2.46109443283643e-5</v>
      </c>
      <c r="E25">
        <f t="shared" si="1"/>
        <v>7.00424608967993e-5</v>
      </c>
      <c r="F25">
        <f t="shared" si="2"/>
        <v>2.06402269770798e-9</v>
      </c>
    </row>
    <row r="26" spans="1:6">
      <c r="A26">
        <v>1.2624</v>
      </c>
      <c r="B26">
        <v>1312.25</v>
      </c>
      <c r="C26">
        <f t="shared" si="0"/>
        <v>0.00315222920414168</v>
      </c>
      <c r="D26">
        <f t="shared" si="3"/>
        <v>1.98463734605206e-5</v>
      </c>
      <c r="E26">
        <f t="shared" si="1"/>
        <v>7.01637956327766e-5</v>
      </c>
      <c r="F26">
        <f t="shared" si="2"/>
        <v>2.53184297406104e-9</v>
      </c>
    </row>
    <row r="27" spans="1:6">
      <c r="A27">
        <v>1.2607</v>
      </c>
      <c r="B27">
        <v>1325.76</v>
      </c>
      <c r="C27">
        <f t="shared" si="0"/>
        <v>0.0102426587566278</v>
      </c>
      <c r="D27">
        <f t="shared" si="3"/>
        <v>1.48914612079822e-5</v>
      </c>
      <c r="E27">
        <f t="shared" si="1"/>
        <v>7.30911275383143e-5</v>
      </c>
      <c r="F27">
        <f t="shared" si="2"/>
        <v>3.387201160962e-9</v>
      </c>
    </row>
    <row r="28" spans="1:6">
      <c r="A28">
        <v>1.2644</v>
      </c>
      <c r="B28">
        <v>1324.66</v>
      </c>
      <c r="C28">
        <f t="shared" si="0"/>
        <v>-0.000830057170680719</v>
      </c>
      <c r="D28">
        <f t="shared" si="3"/>
        <v>5.99017598063532e-5</v>
      </c>
      <c r="E28">
        <f t="shared" si="1"/>
        <v>6.93151462975738e-5</v>
      </c>
      <c r="F28">
        <f t="shared" si="2"/>
        <v>8.86118452330948e-11</v>
      </c>
    </row>
    <row r="29" spans="1:6">
      <c r="A29">
        <v>1.2639</v>
      </c>
      <c r="B29">
        <v>1325.14</v>
      </c>
      <c r="C29">
        <f t="shared" si="0"/>
        <v>0.000362291497660455</v>
      </c>
      <c r="D29">
        <f t="shared" si="3"/>
        <v>3.02953773564758e-5</v>
      </c>
      <c r="E29">
        <f t="shared" si="1"/>
        <v>7.17841431432718e-5</v>
      </c>
      <c r="F29">
        <f t="shared" si="2"/>
        <v>1.72131768651161e-9</v>
      </c>
    </row>
    <row r="30" spans="1:6">
      <c r="A30">
        <v>1.2684</v>
      </c>
      <c r="B30">
        <v>1322.85</v>
      </c>
      <c r="C30">
        <f t="shared" si="0"/>
        <v>-0.0017296142137172</v>
      </c>
      <c r="D30">
        <f t="shared" si="3"/>
        <v>1.52133162428764e-5</v>
      </c>
      <c r="E30">
        <f t="shared" si="1"/>
        <v>9.34931577151778e-5</v>
      </c>
      <c r="F30">
        <f t="shared" si="2"/>
        <v>6.12773358092863e-9</v>
      </c>
    </row>
    <row r="31" spans="1:6">
      <c r="A31">
        <v>1.2733</v>
      </c>
      <c r="B31">
        <v>1305.92</v>
      </c>
      <c r="C31">
        <f t="shared" si="0"/>
        <v>-0.0128807267848585</v>
      </c>
      <c r="D31">
        <f t="shared" si="3"/>
        <v>9.1024407855845e-6</v>
      </c>
      <c r="E31">
        <f t="shared" si="1"/>
        <v>9.35891010275602e-5</v>
      </c>
      <c r="F31">
        <f t="shared" si="2"/>
        <v>7.13799575884304e-9</v>
      </c>
    </row>
    <row r="32" spans="1:6">
      <c r="A32">
        <v>1.272</v>
      </c>
      <c r="B32">
        <v>1291.24</v>
      </c>
      <c r="C32">
        <f t="shared" si="0"/>
        <v>-0.0113047762472692</v>
      </c>
      <c r="D32">
        <f t="shared" si="3"/>
        <v>8.75077816458778e-5</v>
      </c>
      <c r="E32">
        <f t="shared" si="1"/>
        <v>9.0921085167552e-5</v>
      </c>
      <c r="F32">
        <f t="shared" si="2"/>
        <v>1.16506409310734e-11</v>
      </c>
    </row>
    <row r="33" spans="1:6">
      <c r="A33">
        <v>1.2747</v>
      </c>
      <c r="B33">
        <v>1294.5</v>
      </c>
      <c r="C33">
        <f t="shared" si="0"/>
        <v>0.00252152322142063</v>
      </c>
      <c r="D33">
        <f t="shared" si="3"/>
        <v>0.00010765287382335</v>
      </c>
      <c r="E33">
        <f t="shared" si="1"/>
        <v>8.7409590179784e-5</v>
      </c>
      <c r="F33">
        <f t="shared" si="2"/>
        <v>4.09790532673862e-10</v>
      </c>
    </row>
    <row r="34" spans="1:6">
      <c r="A34">
        <v>1.2799</v>
      </c>
      <c r="B34">
        <v>1292.08</v>
      </c>
      <c r="C34">
        <f t="shared" si="0"/>
        <v>-0.00187119726133471</v>
      </c>
      <c r="D34">
        <f t="shared" si="3"/>
        <v>5.70054765897567e-5</v>
      </c>
      <c r="E34">
        <f t="shared" si="1"/>
        <v>9.17264204166994e-5</v>
      </c>
      <c r="F34">
        <f t="shared" si="2"/>
        <v>1.20554394023371e-9</v>
      </c>
    </row>
    <row r="35" spans="1:6">
      <c r="A35">
        <v>1.2855</v>
      </c>
      <c r="B35">
        <v>1270.32</v>
      </c>
      <c r="C35">
        <f t="shared" si="0"/>
        <v>-0.0169844857124159</v>
      </c>
      <c r="D35">
        <f t="shared" si="3"/>
        <v>3.02534278902916e-5</v>
      </c>
      <c r="E35">
        <f t="shared" si="1"/>
        <v>9.23366108010801e-5</v>
      </c>
      <c r="F35">
        <f t="shared" si="2"/>
        <v>3.85432160033442e-9</v>
      </c>
    </row>
    <row r="36" spans="1:6">
      <c r="A36">
        <v>1.2888</v>
      </c>
      <c r="B36">
        <v>1261.81</v>
      </c>
      <c r="C36">
        <f t="shared" si="0"/>
        <v>-0.00672163912629495</v>
      </c>
      <c r="D36">
        <f t="shared" si="3"/>
        <v>0.000159363091402776</v>
      </c>
      <c r="E36">
        <f t="shared" si="1"/>
        <v>8.22450913088e-5</v>
      </c>
      <c r="F36">
        <f t="shared" si="2"/>
        <v>5.94718593849443e-9</v>
      </c>
    </row>
    <row r="37" spans="1:6">
      <c r="A37">
        <v>1.2826</v>
      </c>
      <c r="B37">
        <v>1267.03</v>
      </c>
      <c r="C37">
        <f t="shared" si="0"/>
        <v>0.00412838092875242</v>
      </c>
      <c r="D37">
        <f t="shared" si="3"/>
        <v>0.000102271761973457</v>
      </c>
      <c r="E37">
        <f t="shared" si="1"/>
        <v>8.19070830433731e-5</v>
      </c>
      <c r="F37">
        <f t="shared" si="2"/>
        <v>4.1472014792542e-10</v>
      </c>
    </row>
    <row r="38" spans="1:6">
      <c r="A38">
        <v>1.2817</v>
      </c>
      <c r="B38">
        <v>1262.07</v>
      </c>
      <c r="C38">
        <f t="shared" si="0"/>
        <v>-0.00392234894552041</v>
      </c>
      <c r="D38">
        <f t="shared" si="3"/>
        <v>5.96576455331721e-5</v>
      </c>
      <c r="E38">
        <f t="shared" si="1"/>
        <v>8.39208125005374e-5</v>
      </c>
      <c r="F38">
        <f t="shared" si="2"/>
        <v>5.88701271286247e-10</v>
      </c>
    </row>
    <row r="39" spans="1:6">
      <c r="A39">
        <v>1.2722</v>
      </c>
      <c r="B39">
        <v>1256.58</v>
      </c>
      <c r="C39">
        <f t="shared" si="0"/>
        <v>-0.00435948519630403</v>
      </c>
      <c r="D39">
        <f t="shared" si="3"/>
        <v>3.75212333917986e-5</v>
      </c>
      <c r="E39">
        <f t="shared" si="1"/>
        <v>8.50095346108488e-5</v>
      </c>
      <c r="F39">
        <f t="shared" si="2"/>
        <v>2.25513875267125e-9</v>
      </c>
    </row>
    <row r="40" spans="1:6">
      <c r="A40">
        <v>1.2795</v>
      </c>
      <c r="B40">
        <v>1258.57</v>
      </c>
      <c r="C40">
        <f t="shared" si="0"/>
        <v>0.00158241092201312</v>
      </c>
      <c r="D40">
        <f t="shared" si="3"/>
        <v>2.82631722842963e-5</v>
      </c>
      <c r="E40">
        <f t="shared" si="1"/>
        <v>0.000102455343803455</v>
      </c>
      <c r="F40">
        <f t="shared" si="2"/>
        <v>5.50447831472819e-9</v>
      </c>
    </row>
    <row r="41" spans="1:6">
      <c r="A41">
        <v>1.275</v>
      </c>
      <c r="B41">
        <v>1272.88</v>
      </c>
      <c r="C41">
        <f t="shared" si="0"/>
        <v>0.0113058937991134</v>
      </c>
      <c r="D41">
        <f t="shared" si="3"/>
        <v>1.53835983052013e-5</v>
      </c>
      <c r="E41">
        <f t="shared" si="1"/>
        <v>0.000102656628568293</v>
      </c>
      <c r="F41">
        <f t="shared" si="2"/>
        <v>7.61658181130245e-9</v>
      </c>
    </row>
    <row r="42" spans="1:6">
      <c r="A42">
        <v>1.285</v>
      </c>
      <c r="B42">
        <v>1280.16</v>
      </c>
      <c r="C42">
        <f t="shared" si="0"/>
        <v>0.00570302050221276</v>
      </c>
      <c r="D42">
        <f t="shared" si="3"/>
        <v>7.16034164510161e-5</v>
      </c>
      <c r="E42">
        <f t="shared" si="1"/>
        <v>0.000100078361800192</v>
      </c>
      <c r="F42">
        <f t="shared" si="2"/>
        <v>8.10822512638566e-10</v>
      </c>
    </row>
    <row r="43" spans="1:6">
      <c r="A43">
        <v>1.2844</v>
      </c>
      <c r="B43">
        <v>1259.87</v>
      </c>
      <c r="C43">
        <f t="shared" si="0"/>
        <v>-0.0159765290823304</v>
      </c>
      <c r="D43">
        <f t="shared" si="3"/>
        <v>5.20639296498376e-5</v>
      </c>
      <c r="E43">
        <f t="shared" si="1"/>
        <v>0.000100864140398279</v>
      </c>
      <c r="F43">
        <f t="shared" si="2"/>
        <v>2.38146056909231e-9</v>
      </c>
    </row>
    <row r="44" spans="1:6">
      <c r="A44">
        <v>1.2747</v>
      </c>
      <c r="B44">
        <v>1270.09</v>
      </c>
      <c r="C44">
        <f t="shared" si="0"/>
        <v>0.00807922306399937</v>
      </c>
      <c r="D44">
        <f t="shared" si="3"/>
        <v>0.000153656705584193</v>
      </c>
      <c r="E44">
        <f t="shared" si="1"/>
        <v>9.07897760834985e-5</v>
      </c>
      <c r="F44">
        <f t="shared" si="2"/>
        <v>3.95225082484534e-9</v>
      </c>
    </row>
    <row r="45" spans="1:6">
      <c r="A45">
        <v>1.2777</v>
      </c>
      <c r="B45">
        <v>1285.71</v>
      </c>
      <c r="C45">
        <f t="shared" si="0"/>
        <v>0.0122233308406714</v>
      </c>
      <c r="D45">
        <f t="shared" si="3"/>
        <v>0.000109465275451026</v>
      </c>
      <c r="E45">
        <f t="shared" si="1"/>
        <v>9.01868711772315e-5</v>
      </c>
      <c r="F45">
        <f t="shared" si="2"/>
        <v>3.7165687134387e-10</v>
      </c>
    </row>
    <row r="46" spans="1:6">
      <c r="A46">
        <v>1.2739</v>
      </c>
      <c r="B46">
        <v>1288.22</v>
      </c>
      <c r="C46">
        <f t="shared" si="0"/>
        <v>0.00195032560762875</v>
      </c>
      <c r="D46">
        <f t="shared" si="3"/>
        <v>0.000129437546145767</v>
      </c>
      <c r="E46">
        <f t="shared" si="1"/>
        <v>8.39984947399583e-5</v>
      </c>
      <c r="F46">
        <f t="shared" si="2"/>
        <v>2.06470739265977e-9</v>
      </c>
    </row>
    <row r="47" spans="1:6">
      <c r="A47">
        <v>1.2868</v>
      </c>
      <c r="B47">
        <v>1265.29</v>
      </c>
      <c r="C47">
        <f t="shared" si="0"/>
        <v>-0.017960075631844</v>
      </c>
      <c r="D47">
        <f t="shared" si="3"/>
        <v>6.662065806077e-5</v>
      </c>
      <c r="E47">
        <f t="shared" si="1"/>
        <v>8.45735925750049e-5</v>
      </c>
      <c r="F47">
        <f t="shared" si="2"/>
        <v>3.2230785767241e-10</v>
      </c>
    </row>
    <row r="48" spans="1:6">
      <c r="A48">
        <v>1.2833</v>
      </c>
      <c r="B48">
        <v>1263.85</v>
      </c>
      <c r="C48">
        <f t="shared" si="0"/>
        <v>-0.00113872712115891</v>
      </c>
      <c r="D48">
        <f t="shared" si="3"/>
        <v>0.000194592487381163</v>
      </c>
      <c r="E48">
        <f t="shared" si="1"/>
        <v>7.66390402384302e-5</v>
      </c>
      <c r="F48">
        <f t="shared" si="2"/>
        <v>1.39130156928535e-8</v>
      </c>
    </row>
    <row r="49" spans="1:6">
      <c r="A49">
        <v>1.2824</v>
      </c>
      <c r="B49">
        <v>1256.15</v>
      </c>
      <c r="C49">
        <f t="shared" si="0"/>
        <v>-0.00611113012985036</v>
      </c>
      <c r="D49">
        <f t="shared" si="3"/>
        <v>9.79445934188131e-5</v>
      </c>
      <c r="E49">
        <f t="shared" si="1"/>
        <v>8.2988279822921e-5</v>
      </c>
      <c r="F49">
        <f t="shared" si="2"/>
        <v>2.23691316378666e-10</v>
      </c>
    </row>
    <row r="50" spans="1:6">
      <c r="A50">
        <v>1.2912</v>
      </c>
      <c r="B50">
        <v>1257.93</v>
      </c>
      <c r="C50">
        <f t="shared" si="0"/>
        <v>0.00141602518410482</v>
      </c>
      <c r="D50">
        <f t="shared" si="3"/>
        <v>6.7645252441389e-5</v>
      </c>
      <c r="E50">
        <f t="shared" si="1"/>
        <v>8.25188776492367e-5</v>
      </c>
      <c r="F50">
        <f t="shared" si="2"/>
        <v>2.21224726823523e-10</v>
      </c>
    </row>
    <row r="51" spans="1:6">
      <c r="A51">
        <v>1.2953</v>
      </c>
      <c r="B51">
        <v>1252.3</v>
      </c>
      <c r="C51">
        <f t="shared" si="0"/>
        <v>-0.00448565226304778</v>
      </c>
      <c r="D51">
        <f t="shared" si="3"/>
        <v>3.4825189881704e-5</v>
      </c>
      <c r="E51">
        <f t="shared" si="1"/>
        <v>8.23653133691628e-5</v>
      </c>
      <c r="F51">
        <f t="shared" si="2"/>
        <v>2.26006334120283e-9</v>
      </c>
    </row>
    <row r="52" spans="1:6">
      <c r="A52">
        <v>1.2828</v>
      </c>
      <c r="B52">
        <v>1237.44</v>
      </c>
      <c r="C52">
        <f t="shared" si="0"/>
        <v>-0.0119371311510545</v>
      </c>
      <c r="D52">
        <f t="shared" si="3"/>
        <v>2.74731330533449e-5</v>
      </c>
      <c r="E52">
        <f t="shared" si="1"/>
        <v>8.20151437272471e-5</v>
      </c>
      <c r="F52">
        <f t="shared" si="2"/>
        <v>2.97483092835207e-9</v>
      </c>
    </row>
    <row r="53" spans="1:6">
      <c r="A53">
        <v>1.2799</v>
      </c>
      <c r="B53">
        <v>1223.69</v>
      </c>
      <c r="C53">
        <f t="shared" si="0"/>
        <v>-0.0111738453982667</v>
      </c>
      <c r="D53">
        <f t="shared" si="3"/>
        <v>8.49841165854103e-5</v>
      </c>
      <c r="E53">
        <f t="shared" si="1"/>
        <v>8.95786280872337e-5</v>
      </c>
      <c r="F53">
        <f t="shared" si="2"/>
        <v>2.11095359403879e-11</v>
      </c>
    </row>
    <row r="54" spans="1:6">
      <c r="A54">
        <v>1.2648</v>
      </c>
      <c r="B54">
        <v>1230.04</v>
      </c>
      <c r="C54">
        <f t="shared" si="0"/>
        <v>0.00517580514222648</v>
      </c>
      <c r="D54">
        <f t="shared" si="3"/>
        <v>0.000104919468784888</v>
      </c>
      <c r="E54">
        <f t="shared" si="1"/>
        <v>8.73261576478387e-5</v>
      </c>
      <c r="F54">
        <f t="shared" si="2"/>
        <v>3.09524596765028e-10</v>
      </c>
    </row>
    <row r="55" spans="1:6">
      <c r="A55">
        <v>1.2636</v>
      </c>
      <c r="B55">
        <v>1256.16</v>
      </c>
      <c r="C55">
        <f t="shared" si="0"/>
        <v>0.0210127592870535</v>
      </c>
      <c r="D55">
        <f t="shared" si="3"/>
        <v>6.58542138275931e-5</v>
      </c>
      <c r="E55">
        <f t="shared" si="1"/>
        <v>8.88176050920544e-5</v>
      </c>
      <c r="F55">
        <f t="shared" si="2"/>
        <v>5.2731733836474e-10</v>
      </c>
    </row>
    <row r="56" spans="1:6">
      <c r="A56">
        <v>1.2587</v>
      </c>
      <c r="B56">
        <v>1251.54</v>
      </c>
      <c r="C56">
        <f t="shared" si="0"/>
        <v>-0.00368465544285435</v>
      </c>
      <c r="D56">
        <f t="shared" si="3"/>
        <v>0.000253695133341623</v>
      </c>
      <c r="E56">
        <f t="shared" si="1"/>
        <v>8.21149665768728e-5</v>
      </c>
      <c r="F56">
        <f t="shared" si="2"/>
        <v>2.94397536270195e-8</v>
      </c>
    </row>
    <row r="57" spans="1:6">
      <c r="A57">
        <v>1.2574</v>
      </c>
      <c r="B57">
        <v>1240.13</v>
      </c>
      <c r="C57">
        <f t="shared" si="0"/>
        <v>-0.00915858019352456</v>
      </c>
      <c r="D57">
        <f t="shared" si="3"/>
        <v>0.00013363590953709</v>
      </c>
      <c r="E57">
        <f t="shared" si="1"/>
        <v>8.28906062758627e-5</v>
      </c>
      <c r="F57">
        <f t="shared" si="2"/>
        <v>2.57508580307389e-9</v>
      </c>
    </row>
    <row r="58" spans="1:6">
      <c r="A58">
        <v>1.2631</v>
      </c>
      <c r="B58">
        <v>1240.12</v>
      </c>
      <c r="C58">
        <f t="shared" si="0"/>
        <v>-8.06370325591926e-6</v>
      </c>
      <c r="D58">
        <f t="shared" si="3"/>
        <v>0.000108757750349155</v>
      </c>
      <c r="E58">
        <f t="shared" si="1"/>
        <v>7.90508088036495e-5</v>
      </c>
      <c r="F58">
        <f t="shared" si="2"/>
        <v>8.82502375988082e-10</v>
      </c>
    </row>
    <row r="59" spans="1:6">
      <c r="A59">
        <v>1.2616</v>
      </c>
      <c r="B59">
        <v>1252.2</v>
      </c>
      <c r="C59">
        <f t="shared" si="0"/>
        <v>0.00969385520089953</v>
      </c>
      <c r="D59">
        <f t="shared" si="3"/>
        <v>5.43789076862326e-5</v>
      </c>
      <c r="E59">
        <f t="shared" si="1"/>
        <v>7.99843497442527e-5</v>
      </c>
      <c r="F59">
        <f t="shared" si="2"/>
        <v>6.55638662986625e-10</v>
      </c>
    </row>
    <row r="60" spans="1:6">
      <c r="A60">
        <v>1.2623</v>
      </c>
      <c r="B60">
        <v>1245.6</v>
      </c>
      <c r="C60">
        <f t="shared" si="0"/>
        <v>-0.0052846627914216</v>
      </c>
      <c r="D60">
        <f t="shared" si="3"/>
        <v>7.41748681711197e-5</v>
      </c>
      <c r="E60">
        <f t="shared" si="1"/>
        <v>8.19170185324081e-5</v>
      </c>
      <c r="F60">
        <f t="shared" si="2"/>
        <v>5.9940892216797e-11</v>
      </c>
    </row>
    <row r="61" spans="1:6">
      <c r="A61">
        <v>1.2577</v>
      </c>
      <c r="B61">
        <v>1244.5</v>
      </c>
      <c r="C61">
        <f t="shared" si="0"/>
        <v>-0.000883498712141767</v>
      </c>
      <c r="D61">
        <f t="shared" si="3"/>
        <v>5.10512644950778e-5</v>
      </c>
      <c r="E61">
        <f t="shared" si="1"/>
        <v>8.06213415960673e-5</v>
      </c>
      <c r="F61">
        <f t="shared" si="2"/>
        <v>8.74389459758459e-10</v>
      </c>
    </row>
    <row r="62" spans="1:6">
      <c r="A62">
        <v>1.2568</v>
      </c>
      <c r="B62">
        <v>1250.56</v>
      </c>
      <c r="C62">
        <f t="shared" si="0"/>
        <v>0.00485760816666184</v>
      </c>
      <c r="D62">
        <f t="shared" si="3"/>
        <v>2.5915917234717e-5</v>
      </c>
      <c r="E62">
        <f t="shared" si="1"/>
        <v>8.16567251938265e-5</v>
      </c>
      <c r="F62">
        <f t="shared" si="2"/>
        <v>3.10703767193433e-9</v>
      </c>
    </row>
    <row r="63" spans="1:6">
      <c r="A63">
        <v>1.2665</v>
      </c>
      <c r="B63">
        <v>1239.2</v>
      </c>
      <c r="C63">
        <f t="shared" si="0"/>
        <v>-0.00912544087164959</v>
      </c>
      <c r="D63">
        <f t="shared" si="3"/>
        <v>2.47561371677684e-5</v>
      </c>
      <c r="E63">
        <f t="shared" si="1"/>
        <v>8.17353021825866e-5</v>
      </c>
      <c r="F63">
        <f t="shared" si="2"/>
        <v>3.24662524578588e-9</v>
      </c>
    </row>
    <row r="64" spans="1:6">
      <c r="A64">
        <v>1.2582</v>
      </c>
      <c r="B64">
        <v>1246</v>
      </c>
      <c r="C64">
        <f t="shared" si="0"/>
        <v>0.00547241024473962</v>
      </c>
      <c r="D64">
        <f t="shared" si="3"/>
        <v>5.40149041348706e-5</v>
      </c>
      <c r="E64">
        <f t="shared" si="1"/>
        <v>7.76631629933507e-5</v>
      </c>
      <c r="F64">
        <f t="shared" si="2"/>
        <v>5.59240147037683e-10</v>
      </c>
    </row>
    <row r="65" spans="1:6">
      <c r="A65">
        <v>1.2522</v>
      </c>
      <c r="B65">
        <v>1272.87</v>
      </c>
      <c r="C65">
        <f t="shared" si="0"/>
        <v>0.0213357730212294</v>
      </c>
      <c r="D65">
        <f t="shared" si="3"/>
        <v>4.19810890108009e-5</v>
      </c>
      <c r="E65">
        <f t="shared" si="1"/>
        <v>7.70470144621294e-5</v>
      </c>
      <c r="F65">
        <f t="shared" si="2"/>
        <v>1.22961912775813e-9</v>
      </c>
    </row>
    <row r="66" spans="1:6">
      <c r="A66">
        <v>1.2554</v>
      </c>
      <c r="B66">
        <v>1270.2</v>
      </c>
      <c r="C66">
        <f t="shared" si="0"/>
        <v>-0.00209982499975324</v>
      </c>
      <c r="D66">
        <f t="shared" si="3"/>
        <v>0.000248598149712111</v>
      </c>
      <c r="E66">
        <f t="shared" si="1"/>
        <v>6.02202863115515e-5</v>
      </c>
      <c r="F66">
        <f t="shared" si="2"/>
        <v>3.54862194193597e-8</v>
      </c>
    </row>
    <row r="67" spans="1:6">
      <c r="A67">
        <v>1.2589</v>
      </c>
      <c r="B67">
        <v>1280.19</v>
      </c>
      <c r="C67">
        <f t="shared" si="0"/>
        <v>0.00783413602903272</v>
      </c>
      <c r="D67">
        <f t="shared" si="3"/>
        <v>0.00012650370737085</v>
      </c>
      <c r="E67">
        <f t="shared" si="1"/>
        <v>6.05041515654075e-5</v>
      </c>
      <c r="F67">
        <f t="shared" si="2"/>
        <v>4.35594136651567e-9</v>
      </c>
    </row>
    <row r="68" spans="1:6">
      <c r="A68">
        <v>1.2532</v>
      </c>
      <c r="B68">
        <v>1270.91</v>
      </c>
      <c r="C68">
        <f t="shared" ref="C68:C131" si="4">LN(B68/B67)</f>
        <v>-0.00727532510115004</v>
      </c>
      <c r="D68">
        <f t="shared" si="3"/>
        <v>9.39386973461191e-5</v>
      </c>
      <c r="E68">
        <f t="shared" ref="E68:E131" si="5">_xlfn.VAR.S(C68:C93)</f>
        <v>5.86182207965637e-5</v>
      </c>
      <c r="F68">
        <f t="shared" ref="F68:F131" si="6">(D68-E68)^2</f>
        <v>1.24753606368769e-9</v>
      </c>
    </row>
    <row r="69" spans="1:6">
      <c r="A69">
        <v>1.2534</v>
      </c>
      <c r="B69">
        <v>1274.08</v>
      </c>
      <c r="C69">
        <f t="shared" si="4"/>
        <v>0.00249117021237739</v>
      </c>
      <c r="D69">
        <f t="shared" ref="D69:D132" si="7">$H$1*D68+(1-$H$1)*C68^2</f>
        <v>7.34345263367715e-5</v>
      </c>
      <c r="E69">
        <f t="shared" si="5"/>
        <v>5.75458578024159e-5</v>
      </c>
      <c r="F69">
        <f t="shared" si="6"/>
        <v>2.52449787794622e-10</v>
      </c>
    </row>
    <row r="70" spans="1:6">
      <c r="A70">
        <v>1.2779</v>
      </c>
      <c r="B70">
        <v>1265.48</v>
      </c>
      <c r="C70">
        <f t="shared" si="4"/>
        <v>-0.0067728526788686</v>
      </c>
      <c r="D70">
        <f t="shared" si="7"/>
        <v>3.98202276819039e-5</v>
      </c>
      <c r="E70">
        <f t="shared" si="5"/>
        <v>5.78852482987394e-5</v>
      </c>
      <c r="F70">
        <f t="shared" si="6"/>
        <v>3.26344969886689e-10</v>
      </c>
    </row>
    <row r="71" spans="1:6">
      <c r="A71">
        <v>1.2793</v>
      </c>
      <c r="B71">
        <v>1267.34</v>
      </c>
      <c r="C71">
        <f t="shared" si="4"/>
        <v>0.00146871892543162</v>
      </c>
      <c r="D71">
        <f t="shared" si="7"/>
        <v>4.28458805457808e-5</v>
      </c>
      <c r="E71">
        <f t="shared" si="5"/>
        <v>5.61484030000409e-5</v>
      </c>
      <c r="F71">
        <f t="shared" si="6"/>
        <v>1.76957103646095e-10</v>
      </c>
    </row>
    <row r="72" spans="1:6">
      <c r="A72">
        <v>1.2726</v>
      </c>
      <c r="B72">
        <v>1272.43</v>
      </c>
      <c r="C72">
        <f t="shared" si="4"/>
        <v>0.00400824233270161</v>
      </c>
      <c r="D72">
        <f t="shared" si="7"/>
        <v>2.25015079138509e-5</v>
      </c>
      <c r="E72">
        <f t="shared" si="5"/>
        <v>6.31573435411565e-5</v>
      </c>
      <c r="F72">
        <f t="shared" si="6"/>
        <v>1.65289697055449e-9</v>
      </c>
    </row>
    <row r="73" spans="1:6">
      <c r="A73">
        <v>1.2757</v>
      </c>
      <c r="B73">
        <v>1258.6</v>
      </c>
      <c r="C73">
        <f t="shared" si="4"/>
        <v>-0.0109284659955662</v>
      </c>
      <c r="D73">
        <f t="shared" si="7"/>
        <v>1.92837572557561e-5</v>
      </c>
      <c r="E73">
        <f t="shared" si="5"/>
        <v>6.46654598197114e-5</v>
      </c>
      <c r="F73">
        <f t="shared" si="6"/>
        <v>2.05949892760331e-9</v>
      </c>
    </row>
    <row r="74" spans="1:6">
      <c r="A74">
        <v>1.2822</v>
      </c>
      <c r="B74">
        <v>1242.28</v>
      </c>
      <c r="C74">
        <f t="shared" si="4"/>
        <v>-0.0130515911736877</v>
      </c>
      <c r="D74">
        <f t="shared" si="7"/>
        <v>6.93575631360014e-5</v>
      </c>
      <c r="E74">
        <f t="shared" si="5"/>
        <v>5.90579158539664e-5</v>
      </c>
      <c r="F74">
        <f t="shared" si="6"/>
        <v>1.06082734134331e-10</v>
      </c>
    </row>
    <row r="75" spans="1:6">
      <c r="A75">
        <v>1.2751</v>
      </c>
      <c r="B75">
        <v>1236.2</v>
      </c>
      <c r="C75">
        <f t="shared" si="4"/>
        <v>-0.00490624269397256</v>
      </c>
      <c r="D75">
        <f t="shared" si="7"/>
        <v>0.000119850797650542</v>
      </c>
      <c r="E75">
        <f t="shared" si="5"/>
        <v>5.07930972439381e-5</v>
      </c>
      <c r="F75">
        <f t="shared" si="6"/>
        <v>4.76896598544827e-9</v>
      </c>
    </row>
    <row r="76" spans="1:6">
      <c r="A76">
        <v>1.2754</v>
      </c>
      <c r="B76">
        <v>1234.49</v>
      </c>
      <c r="C76">
        <f t="shared" si="4"/>
        <v>-0.00138422891827202</v>
      </c>
      <c r="D76">
        <f t="shared" si="7"/>
        <v>7.19610075113506e-5</v>
      </c>
      <c r="E76">
        <f t="shared" si="5"/>
        <v>5.01903560224122e-5</v>
      </c>
      <c r="F76">
        <f t="shared" si="6"/>
        <v>4.73961266252816e-10</v>
      </c>
    </row>
    <row r="77" spans="1:6">
      <c r="A77">
        <v>1.2706</v>
      </c>
      <c r="B77">
        <v>1236.86</v>
      </c>
      <c r="C77">
        <f t="shared" si="4"/>
        <v>0.00191798063935351</v>
      </c>
      <c r="D77">
        <f t="shared" si="7"/>
        <v>3.69385486047655e-5</v>
      </c>
      <c r="E77">
        <f t="shared" si="5"/>
        <v>4.97897004091122e-5</v>
      </c>
      <c r="F77">
        <f t="shared" si="6"/>
        <v>1.65152102698362e-10</v>
      </c>
    </row>
    <row r="78" spans="1:6">
      <c r="A78">
        <v>1.2673</v>
      </c>
      <c r="B78">
        <v>1259.81</v>
      </c>
      <c r="C78">
        <f t="shared" si="4"/>
        <v>0.0183850059779698</v>
      </c>
      <c r="D78">
        <f t="shared" si="7"/>
        <v>2.03085991688502e-5</v>
      </c>
      <c r="E78">
        <f t="shared" si="5"/>
        <v>5.13917305452108e-5</v>
      </c>
      <c r="F78">
        <f t="shared" si="6"/>
        <v>9.66161056160091e-10</v>
      </c>
    </row>
    <row r="79" spans="1:6">
      <c r="A79">
        <v>1.2641</v>
      </c>
      <c r="B79">
        <v>1249.13</v>
      </c>
      <c r="C79">
        <f t="shared" si="4"/>
        <v>-0.00851360694832069</v>
      </c>
      <c r="D79">
        <f t="shared" si="7"/>
        <v>0.000179158521989418</v>
      </c>
      <c r="E79">
        <f t="shared" si="5"/>
        <v>3.98886222644386e-5</v>
      </c>
      <c r="F79">
        <f t="shared" si="6"/>
        <v>1.93961049694057e-8</v>
      </c>
    </row>
    <row r="80" spans="1:6">
      <c r="A80">
        <v>1.2529</v>
      </c>
      <c r="B80">
        <v>1240.29</v>
      </c>
      <c r="C80">
        <f t="shared" si="4"/>
        <v>-0.0071020857526308</v>
      </c>
      <c r="D80">
        <f t="shared" si="7"/>
        <v>0.000125820012629956</v>
      </c>
      <c r="E80">
        <f t="shared" si="5"/>
        <v>3.62412566235412e-5</v>
      </c>
      <c r="F80">
        <f t="shared" si="6"/>
        <v>8.0243535276568e-9</v>
      </c>
    </row>
    <row r="81" spans="1:6">
      <c r="A81">
        <v>1.25</v>
      </c>
      <c r="B81">
        <v>1260.91</v>
      </c>
      <c r="C81">
        <f t="shared" si="4"/>
        <v>0.0164884592675075</v>
      </c>
      <c r="D81">
        <f t="shared" si="7"/>
        <v>8.81298173338387e-5</v>
      </c>
      <c r="E81">
        <f t="shared" si="5"/>
        <v>3.36920874069153e-5</v>
      </c>
      <c r="F81">
        <f t="shared" si="6"/>
        <v>2.96346643959666e-9</v>
      </c>
    </row>
    <row r="82" spans="1:6">
      <c r="A82">
        <v>1.256</v>
      </c>
      <c r="B82">
        <v>1268.88</v>
      </c>
      <c r="C82">
        <f t="shared" si="4"/>
        <v>0.00630093910452403</v>
      </c>
      <c r="D82">
        <f t="shared" si="7"/>
        <v>0.000179999553175046</v>
      </c>
      <c r="E82">
        <f t="shared" si="5"/>
        <v>2.48071918376085e-5</v>
      </c>
      <c r="F82">
        <f t="shared" si="6"/>
        <v>2.40846690174898e-8</v>
      </c>
    </row>
    <row r="83" spans="1:6">
      <c r="A83">
        <v>1.2639</v>
      </c>
      <c r="B83">
        <v>1268.4</v>
      </c>
      <c r="C83">
        <f t="shared" si="4"/>
        <v>-0.000378357931112176</v>
      </c>
      <c r="D83">
        <f t="shared" si="7"/>
        <v>0.000109850693386983</v>
      </c>
      <c r="E83">
        <f t="shared" si="5"/>
        <v>2.37697879697205e-5</v>
      </c>
      <c r="F83">
        <f t="shared" si="6"/>
        <v>7.40992227745573e-9</v>
      </c>
    </row>
    <row r="84" spans="1:6">
      <c r="A84">
        <v>1.2684</v>
      </c>
      <c r="B84">
        <v>1263.2</v>
      </c>
      <c r="C84">
        <f t="shared" si="4"/>
        <v>-0.00410807972275999</v>
      </c>
      <c r="D84">
        <f t="shared" si="7"/>
        <v>5.49969240555093e-5</v>
      </c>
      <c r="E84">
        <f t="shared" si="5"/>
        <v>2.38901569674434e-5</v>
      </c>
      <c r="F84">
        <f t="shared" si="6"/>
        <v>9.67630958671181e-10</v>
      </c>
    </row>
    <row r="85" spans="1:6">
      <c r="A85">
        <v>1.263</v>
      </c>
      <c r="B85">
        <v>1278.55</v>
      </c>
      <c r="C85">
        <f t="shared" si="4"/>
        <v>0.0120784393551724</v>
      </c>
      <c r="D85">
        <f t="shared" si="7"/>
        <v>3.59366215320306e-5</v>
      </c>
      <c r="E85">
        <f t="shared" si="5"/>
        <v>2.34686528683323e-5</v>
      </c>
      <c r="F85">
        <f t="shared" si="6"/>
        <v>1.55450242598963e-10</v>
      </c>
    </row>
    <row r="86" spans="1:6">
      <c r="A86">
        <v>1.2576</v>
      </c>
      <c r="B86">
        <v>1276.66</v>
      </c>
      <c r="C86">
        <f t="shared" si="4"/>
        <v>-0.00147933073577197</v>
      </c>
      <c r="D86">
        <f t="shared" si="7"/>
        <v>9.0912659394304e-5</v>
      </c>
      <c r="E86">
        <f t="shared" si="5"/>
        <v>1.87697037425661e-5</v>
      </c>
      <c r="F86">
        <f t="shared" si="6"/>
        <v>5.20460605016863e-9</v>
      </c>
    </row>
    <row r="87" spans="1:6">
      <c r="A87">
        <v>1.2628</v>
      </c>
      <c r="B87">
        <v>1270.92</v>
      </c>
      <c r="C87">
        <f t="shared" si="4"/>
        <v>-0.00450624491725457</v>
      </c>
      <c r="D87">
        <f t="shared" si="7"/>
        <v>4.65505394100518e-5</v>
      </c>
      <c r="E87">
        <f t="shared" si="5"/>
        <v>2.32219268746443e-5</v>
      </c>
      <c r="F87">
        <f t="shared" si="6"/>
        <v>5.44224162827172e-10</v>
      </c>
    </row>
    <row r="88" spans="1:6">
      <c r="A88">
        <v>1.2732</v>
      </c>
      <c r="B88">
        <v>1277.41</v>
      </c>
      <c r="C88">
        <f t="shared" si="4"/>
        <v>0.00509354285470936</v>
      </c>
      <c r="D88">
        <f t="shared" si="7"/>
        <v>3.34283913321672e-5</v>
      </c>
      <c r="E88">
        <f t="shared" si="5"/>
        <v>2.33523596600265e-5</v>
      </c>
      <c r="F88">
        <f t="shared" si="6"/>
        <v>1.01526414257982e-10</v>
      </c>
    </row>
    <row r="89" spans="1:6">
      <c r="A89">
        <v>1.2748</v>
      </c>
      <c r="B89">
        <v>1280.27</v>
      </c>
      <c r="C89">
        <f t="shared" si="4"/>
        <v>0.00223640267118888</v>
      </c>
      <c r="D89">
        <f t="shared" si="7"/>
        <v>2.9686285072464e-5</v>
      </c>
      <c r="E89">
        <f t="shared" si="5"/>
        <v>2.2956149072239e-5</v>
      </c>
      <c r="F89">
        <f t="shared" si="6"/>
        <v>4.52947305815248e-11</v>
      </c>
    </row>
    <row r="90" spans="1:6">
      <c r="A90">
        <v>1.2764</v>
      </c>
      <c r="B90">
        <v>1279.36</v>
      </c>
      <c r="C90">
        <f t="shared" si="4"/>
        <v>-0.00071104029749594</v>
      </c>
      <c r="D90">
        <f t="shared" si="7"/>
        <v>1.73438909900824e-5</v>
      </c>
      <c r="E90">
        <f t="shared" si="5"/>
        <v>2.28508248782173e-5</v>
      </c>
      <c r="F90">
        <f t="shared" si="6"/>
        <v>3.03263208482888e-11</v>
      </c>
    </row>
    <row r="91" spans="1:6">
      <c r="A91">
        <v>1.2778</v>
      </c>
      <c r="B91">
        <v>1275.77</v>
      </c>
      <c r="C91">
        <f t="shared" si="4"/>
        <v>-0.00281003499806929</v>
      </c>
      <c r="D91">
        <f t="shared" si="7"/>
        <v>8.92473464737275e-6</v>
      </c>
      <c r="E91">
        <f t="shared" si="5"/>
        <v>2.63846822061826e-5</v>
      </c>
      <c r="F91">
        <f t="shared" si="6"/>
        <v>3.04849768756391e-10</v>
      </c>
    </row>
    <row r="92" spans="1:6">
      <c r="A92">
        <v>1.2798</v>
      </c>
      <c r="B92">
        <v>1271.48</v>
      </c>
      <c r="C92">
        <f t="shared" si="4"/>
        <v>-0.00336834158884754</v>
      </c>
      <c r="D92">
        <f t="shared" si="7"/>
        <v>8.41051566887351e-6</v>
      </c>
      <c r="E92">
        <f t="shared" si="5"/>
        <v>2.60624377550118e-5</v>
      </c>
      <c r="F92">
        <f t="shared" si="6"/>
        <v>3.11590353335098e-10</v>
      </c>
    </row>
    <row r="93" spans="1:6">
      <c r="A93">
        <v>1.2779</v>
      </c>
      <c r="B93">
        <v>1265.95</v>
      </c>
      <c r="C93">
        <f t="shared" si="4"/>
        <v>-0.00435874783164341</v>
      </c>
      <c r="D93">
        <f t="shared" si="7"/>
        <v>9.87812036401674e-6</v>
      </c>
      <c r="E93">
        <f t="shared" si="5"/>
        <v>2.54745983141699e-5</v>
      </c>
      <c r="F93">
        <f t="shared" si="6"/>
        <v>2.43250124449614e-10</v>
      </c>
    </row>
    <row r="94" spans="1:6">
      <c r="A94">
        <v>1.2894</v>
      </c>
      <c r="B94">
        <v>1271.81</v>
      </c>
      <c r="C94">
        <f t="shared" si="4"/>
        <v>0.00461825422049562</v>
      </c>
      <c r="D94">
        <f t="shared" si="7"/>
        <v>1.44384015119364e-5</v>
      </c>
      <c r="E94">
        <f t="shared" si="5"/>
        <v>2.41663247613458e-5</v>
      </c>
      <c r="F94">
        <f t="shared" si="6"/>
        <v>9.46324907463989e-11</v>
      </c>
    </row>
    <row r="95" spans="1:6">
      <c r="A95">
        <v>1.2867</v>
      </c>
      <c r="B95">
        <v>1266.74</v>
      </c>
      <c r="C95">
        <f t="shared" si="4"/>
        <v>-0.00399441156654186</v>
      </c>
      <c r="D95">
        <f t="shared" si="7"/>
        <v>1.7883336778531e-5</v>
      </c>
      <c r="E95">
        <f t="shared" si="5"/>
        <v>2.3790976000368e-5</v>
      </c>
      <c r="F95">
        <f t="shared" si="6"/>
        <v>3.4900201175387e-11</v>
      </c>
    </row>
    <row r="96" spans="1:6">
      <c r="A96">
        <v>1.2839</v>
      </c>
      <c r="B96">
        <v>1268.21</v>
      </c>
      <c r="C96">
        <f t="shared" si="4"/>
        <v>0.0011597863190795</v>
      </c>
      <c r="D96">
        <f t="shared" si="7"/>
        <v>1.69193302707272e-5</v>
      </c>
      <c r="E96">
        <f t="shared" si="5"/>
        <v>2.32843891432206e-5</v>
      </c>
      <c r="F96">
        <f t="shared" si="6"/>
        <v>4.05139744503067e-11</v>
      </c>
    </row>
    <row r="97" spans="1:6">
      <c r="A97">
        <v>1.2888</v>
      </c>
      <c r="B97">
        <v>1285.58</v>
      </c>
      <c r="C97">
        <f t="shared" si="4"/>
        <v>0.0136035209374444</v>
      </c>
      <c r="D97">
        <f t="shared" si="7"/>
        <v>9.13221728832559e-6</v>
      </c>
      <c r="E97">
        <f t="shared" si="5"/>
        <v>2.39500595247319e-5</v>
      </c>
      <c r="F97">
        <f t="shared" si="6"/>
        <v>2.19568448543027e-10</v>
      </c>
    </row>
    <row r="98" spans="1:6">
      <c r="A98">
        <v>1.2765</v>
      </c>
      <c r="B98">
        <v>1295.43</v>
      </c>
      <c r="C98">
        <f t="shared" si="4"/>
        <v>0.00763270798660359</v>
      </c>
      <c r="D98">
        <f t="shared" si="7"/>
        <v>9.70939995919069e-5</v>
      </c>
      <c r="E98">
        <f t="shared" si="5"/>
        <v>1.97331644906822e-5</v>
      </c>
      <c r="F98">
        <f t="shared" si="6"/>
        <v>5.98469880755887e-9</v>
      </c>
    </row>
    <row r="99" spans="1:6">
      <c r="A99">
        <v>1.2757</v>
      </c>
      <c r="B99">
        <v>1297.48</v>
      </c>
      <c r="C99">
        <f t="shared" si="4"/>
        <v>0.00158123531255271</v>
      </c>
      <c r="D99">
        <f t="shared" si="7"/>
        <v>7.76761154003346e-5</v>
      </c>
      <c r="E99">
        <f t="shared" si="5"/>
        <v>1.82644681313663e-5</v>
      </c>
      <c r="F99">
        <f t="shared" si="6"/>
        <v>3.52974383121231e-9</v>
      </c>
    </row>
    <row r="100" spans="1:6">
      <c r="A100">
        <v>1.2735</v>
      </c>
      <c r="B100">
        <v>1302.3</v>
      </c>
      <c r="C100">
        <f t="shared" si="4"/>
        <v>0.00370801031060348</v>
      </c>
      <c r="D100">
        <f t="shared" si="7"/>
        <v>4.00882102569991e-5</v>
      </c>
      <c r="E100">
        <f t="shared" si="5"/>
        <v>2.08376564296431e-5</v>
      </c>
      <c r="F100">
        <f t="shared" si="6"/>
        <v>3.70583822659931e-10</v>
      </c>
    </row>
    <row r="101" spans="1:6">
      <c r="A101">
        <v>1.2788</v>
      </c>
      <c r="B101">
        <v>1297.52</v>
      </c>
      <c r="C101">
        <f t="shared" si="4"/>
        <v>-0.00367718179422349</v>
      </c>
      <c r="D101">
        <f t="shared" si="7"/>
        <v>2.69187753602704e-5</v>
      </c>
      <c r="E101">
        <f t="shared" si="5"/>
        <v>2.22566017713337e-5</v>
      </c>
      <c r="F101">
        <f t="shared" si="6"/>
        <v>2.17358625733793e-11</v>
      </c>
    </row>
    <row r="102" spans="1:6">
      <c r="A102">
        <v>1.2864</v>
      </c>
      <c r="B102">
        <v>1298.82</v>
      </c>
      <c r="C102">
        <f t="shared" si="4"/>
        <v>0.00100140976038499</v>
      </c>
      <c r="D102">
        <f t="shared" si="7"/>
        <v>2.02202206540196e-5</v>
      </c>
      <c r="E102">
        <f t="shared" si="5"/>
        <v>2.13878540353102e-5</v>
      </c>
      <c r="F102">
        <f t="shared" si="6"/>
        <v>1.36336771310416e-12</v>
      </c>
    </row>
    <row r="103" spans="1:6">
      <c r="A103">
        <v>1.287</v>
      </c>
      <c r="B103">
        <v>1292.99</v>
      </c>
      <c r="C103">
        <f t="shared" si="4"/>
        <v>-0.00449879414991818</v>
      </c>
      <c r="D103">
        <f t="shared" si="7"/>
        <v>1.06115210811069e-5</v>
      </c>
      <c r="E103">
        <f t="shared" si="5"/>
        <v>2.13993310251317e-5</v>
      </c>
      <c r="F103">
        <f t="shared" si="6"/>
        <v>1.163768433884e-10</v>
      </c>
    </row>
    <row r="104" spans="1:6">
      <c r="A104">
        <v>1.281</v>
      </c>
      <c r="B104">
        <v>1296.06</v>
      </c>
      <c r="C104">
        <f t="shared" si="4"/>
        <v>0.00237152734697488</v>
      </c>
      <c r="D104">
        <f t="shared" si="7"/>
        <v>1.54253349422225e-5</v>
      </c>
      <c r="E104">
        <f t="shared" si="5"/>
        <v>2.05786909462982e-5</v>
      </c>
      <c r="F104">
        <f t="shared" si="6"/>
        <v>2.65570781047434e-11</v>
      </c>
    </row>
    <row r="105" spans="1:6">
      <c r="A105">
        <v>1.2914</v>
      </c>
      <c r="B105">
        <v>1295.09</v>
      </c>
      <c r="C105">
        <f t="shared" si="4"/>
        <v>-0.000748702348618615</v>
      </c>
      <c r="D105">
        <f t="shared" si="7"/>
        <v>1.05247384498361e-5</v>
      </c>
      <c r="E105">
        <f t="shared" si="5"/>
        <v>2.13428798109472e-5</v>
      </c>
      <c r="F105">
        <f t="shared" si="6"/>
        <v>1.17032182508983e-10</v>
      </c>
    </row>
    <row r="106" spans="1:6">
      <c r="A106">
        <v>1.2804</v>
      </c>
      <c r="B106">
        <v>1301.78</v>
      </c>
      <c r="C106">
        <f t="shared" si="4"/>
        <v>0.005152367888949</v>
      </c>
      <c r="D106">
        <f t="shared" si="7"/>
        <v>5.54264682833157e-6</v>
      </c>
      <c r="E106">
        <f t="shared" si="5"/>
        <v>2.12485972516643e-5</v>
      </c>
      <c r="F106">
        <f t="shared" si="6"/>
        <v>2.46676878700185e-10</v>
      </c>
    </row>
    <row r="107" spans="1:6">
      <c r="A107">
        <v>1.2794</v>
      </c>
      <c r="B107">
        <v>1304.28</v>
      </c>
      <c r="C107">
        <f t="shared" si="4"/>
        <v>0.00191860568588984</v>
      </c>
      <c r="D107">
        <f t="shared" si="7"/>
        <v>1.60447708457022e-5</v>
      </c>
      <c r="E107">
        <f t="shared" si="5"/>
        <v>2.52392583841388e-5</v>
      </c>
      <c r="F107">
        <f t="shared" si="6"/>
        <v>8.45386010944657e-11</v>
      </c>
    </row>
    <row r="108" spans="1:6">
      <c r="A108">
        <v>1.276</v>
      </c>
      <c r="B108">
        <v>1305.37</v>
      </c>
      <c r="C108">
        <f t="shared" si="4"/>
        <v>0.000835361112322253</v>
      </c>
      <c r="D108">
        <f t="shared" si="7"/>
        <v>9.8629093118155e-6</v>
      </c>
      <c r="E108">
        <f t="shared" si="5"/>
        <v>2.52560664931649e-5</v>
      </c>
      <c r="F108">
        <f t="shared" si="6"/>
        <v>2.3694928800973e-10</v>
      </c>
    </row>
    <row r="109" spans="1:6">
      <c r="A109">
        <v>1.2767</v>
      </c>
      <c r="B109">
        <v>1303.82</v>
      </c>
      <c r="C109">
        <f t="shared" si="4"/>
        <v>-0.00118810832659311</v>
      </c>
      <c r="D109">
        <f t="shared" si="7"/>
        <v>5.28036874989788e-6</v>
      </c>
      <c r="E109">
        <f t="shared" si="5"/>
        <v>2.58968044805523e-5</v>
      </c>
      <c r="F109">
        <f t="shared" si="6"/>
        <v>4.25037422236203e-10</v>
      </c>
    </row>
    <row r="110" spans="1:6">
      <c r="A110">
        <v>1.2784</v>
      </c>
      <c r="B110">
        <v>1311.01</v>
      </c>
      <c r="C110">
        <f t="shared" si="4"/>
        <v>0.0054994153508485</v>
      </c>
      <c r="D110">
        <f t="shared" si="7"/>
        <v>3.34598507280888e-6</v>
      </c>
      <c r="E110">
        <f t="shared" si="5"/>
        <v>2.56564032858562e-5</v>
      </c>
      <c r="F110">
        <f t="shared" si="6"/>
        <v>4.97754760841073e-10</v>
      </c>
    </row>
    <row r="111" spans="1:6">
      <c r="A111">
        <v>1.2768</v>
      </c>
      <c r="B111">
        <v>1313.25</v>
      </c>
      <c r="C111">
        <f t="shared" si="4"/>
        <v>0.00170714833439757</v>
      </c>
      <c r="D111">
        <f t="shared" si="7"/>
        <v>1.67947771369785e-5</v>
      </c>
      <c r="E111">
        <f t="shared" si="5"/>
        <v>2.49704936458427e-5</v>
      </c>
      <c r="F111">
        <f t="shared" si="6"/>
        <v>6.68423404333153e-11</v>
      </c>
    </row>
    <row r="112" spans="1:6">
      <c r="A112">
        <v>1.2825</v>
      </c>
      <c r="B112">
        <v>1300.26</v>
      </c>
      <c r="C112">
        <f t="shared" si="4"/>
        <v>-0.00994073638177657</v>
      </c>
      <c r="D112">
        <f t="shared" si="7"/>
        <v>9.85456628630745e-6</v>
      </c>
      <c r="E112">
        <f t="shared" si="5"/>
        <v>2.55081365917253e-5</v>
      </c>
      <c r="F112">
        <f t="shared" si="6"/>
        <v>2.45034263306658e-10</v>
      </c>
    </row>
    <row r="113" spans="1:6">
      <c r="A113">
        <v>1.2793</v>
      </c>
      <c r="B113">
        <v>1294.02</v>
      </c>
      <c r="C113">
        <f t="shared" si="4"/>
        <v>-0.00481059256034955</v>
      </c>
      <c r="D113">
        <f t="shared" si="7"/>
        <v>5.43364030491419e-5</v>
      </c>
      <c r="E113">
        <f t="shared" si="5"/>
        <v>2.2932685296006e-5</v>
      </c>
      <c r="F113">
        <f t="shared" si="6"/>
        <v>9.86193488718621e-10</v>
      </c>
    </row>
    <row r="114" spans="1:6">
      <c r="A114">
        <v>1.2833</v>
      </c>
      <c r="B114">
        <v>1298.92</v>
      </c>
      <c r="C114">
        <f t="shared" si="4"/>
        <v>0.00377949804691147</v>
      </c>
      <c r="D114">
        <f t="shared" si="7"/>
        <v>3.87391019154162e-5</v>
      </c>
      <c r="E114">
        <f t="shared" si="5"/>
        <v>2.11105808684815e-5</v>
      </c>
      <c r="F114">
        <f t="shared" si="6"/>
        <v>3.10764754302219e-10</v>
      </c>
    </row>
    <row r="115" spans="1:6">
      <c r="A115">
        <v>1.281</v>
      </c>
      <c r="B115">
        <v>1299.54</v>
      </c>
      <c r="C115">
        <f t="shared" si="4"/>
        <v>0.000477205738603305</v>
      </c>
      <c r="D115">
        <f t="shared" si="7"/>
        <v>2.65118537010119e-5</v>
      </c>
      <c r="E115">
        <f t="shared" si="5"/>
        <v>2.09993152392863e-5</v>
      </c>
      <c r="F115">
        <f t="shared" si="6"/>
        <v>3.03880802920042e-11</v>
      </c>
    </row>
    <row r="116" spans="1:6">
      <c r="A116">
        <v>1.2787</v>
      </c>
      <c r="B116">
        <v>1313</v>
      </c>
      <c r="C116">
        <f t="shared" si="4"/>
        <v>0.0103042396253366</v>
      </c>
      <c r="D116">
        <f t="shared" si="7"/>
        <v>1.33697895089839e-5</v>
      </c>
      <c r="E116">
        <f t="shared" si="5"/>
        <v>2.21718986105622e-5</v>
      </c>
      <c r="F116">
        <f t="shared" si="6"/>
        <v>7.74771246360872e-11</v>
      </c>
    </row>
    <row r="117" spans="1:6">
      <c r="A117">
        <v>1.2757</v>
      </c>
      <c r="B117">
        <v>1318.07</v>
      </c>
      <c r="C117">
        <f t="shared" si="4"/>
        <v>0.00385395012322898</v>
      </c>
      <c r="D117">
        <f t="shared" si="7"/>
        <v>5.97735718826704e-5</v>
      </c>
      <c r="E117">
        <f t="shared" si="5"/>
        <v>1.92102594162614e-5</v>
      </c>
      <c r="F117">
        <f t="shared" si="6"/>
        <v>1.64538231824753e-9</v>
      </c>
    </row>
    <row r="118" spans="1:6">
      <c r="A118">
        <v>1.2673</v>
      </c>
      <c r="B118">
        <v>1316.28</v>
      </c>
      <c r="C118">
        <f t="shared" si="4"/>
        <v>-0.00135896921478203</v>
      </c>
      <c r="D118">
        <f t="shared" si="7"/>
        <v>3.73132517175036e-5</v>
      </c>
      <c r="E118">
        <f t="shared" si="5"/>
        <v>1.89956145637837e-5</v>
      </c>
      <c r="F118">
        <f t="shared" si="6"/>
        <v>3.35535830895338e-10</v>
      </c>
    </row>
    <row r="119" spans="1:6">
      <c r="A119">
        <v>1.2699</v>
      </c>
      <c r="B119">
        <v>1319.66</v>
      </c>
      <c r="C119">
        <f t="shared" si="4"/>
        <v>0.00256455143326499</v>
      </c>
      <c r="D119">
        <f t="shared" si="7"/>
        <v>1.95800245221144e-5</v>
      </c>
      <c r="E119">
        <f t="shared" si="5"/>
        <v>1.86825238035996e-5</v>
      </c>
      <c r="F119">
        <f t="shared" si="6"/>
        <v>8.05507539734624e-13</v>
      </c>
    </row>
    <row r="120" spans="1:6">
      <c r="A120">
        <v>1.2693</v>
      </c>
      <c r="B120">
        <v>1321.18</v>
      </c>
      <c r="C120">
        <f t="shared" si="4"/>
        <v>0.0011511490039924</v>
      </c>
      <c r="D120">
        <f t="shared" si="7"/>
        <v>1.3078474287988e-5</v>
      </c>
      <c r="E120">
        <f t="shared" si="5"/>
        <v>1.94765761546331e-5</v>
      </c>
      <c r="F120">
        <f t="shared" si="6"/>
        <v>4.09357074959684e-11</v>
      </c>
    </row>
    <row r="121" spans="1:6">
      <c r="A121">
        <v>1.2708</v>
      </c>
      <c r="B121">
        <v>1317.64</v>
      </c>
      <c r="C121">
        <f t="shared" si="4"/>
        <v>-0.00268301901879174</v>
      </c>
      <c r="D121">
        <f t="shared" si="7"/>
        <v>7.20180915869033e-6</v>
      </c>
      <c r="E121">
        <f t="shared" si="5"/>
        <v>1.95415678212711e-5</v>
      </c>
      <c r="F121">
        <f t="shared" si="6"/>
        <v>1.52269643850738e-10</v>
      </c>
    </row>
    <row r="122" spans="1:6">
      <c r="A122">
        <v>1.2736</v>
      </c>
      <c r="B122">
        <v>1325.18</v>
      </c>
      <c r="C122">
        <f t="shared" si="4"/>
        <v>0.00570604162057045</v>
      </c>
      <c r="D122">
        <f t="shared" si="7"/>
        <v>7.20020010694426e-6</v>
      </c>
      <c r="E122">
        <f t="shared" si="5"/>
        <v>1.8893314480851e-5</v>
      </c>
      <c r="F122">
        <f t="shared" si="6"/>
        <v>1.36728923761263e-10</v>
      </c>
    </row>
    <row r="123" spans="1:6">
      <c r="A123">
        <v>1.2648</v>
      </c>
      <c r="B123">
        <v>1318.03</v>
      </c>
      <c r="C123">
        <f t="shared" si="4"/>
        <v>-0.00541010168662853</v>
      </c>
      <c r="D123">
        <f t="shared" si="7"/>
        <v>1.98795555413133e-5</v>
      </c>
      <c r="E123">
        <f t="shared" si="5"/>
        <v>1.86816777600564e-5</v>
      </c>
      <c r="F123">
        <f t="shared" si="6"/>
        <v>1.43491117882873e-12</v>
      </c>
    </row>
    <row r="124" spans="1:6">
      <c r="A124">
        <v>1.2671</v>
      </c>
      <c r="B124">
        <v>1314.78</v>
      </c>
      <c r="C124">
        <f t="shared" si="4"/>
        <v>-0.00246884632828332</v>
      </c>
      <c r="D124">
        <f t="shared" si="7"/>
        <v>2.45743779004871e-5</v>
      </c>
      <c r="E124">
        <f t="shared" si="5"/>
        <v>2.0823813840839e-5</v>
      </c>
      <c r="F124">
        <f t="shared" si="6"/>
        <v>1.40667307655234e-11</v>
      </c>
    </row>
    <row r="125" spans="1:6">
      <c r="A125">
        <v>1.2683</v>
      </c>
      <c r="B125">
        <v>1326.37</v>
      </c>
      <c r="C125">
        <f t="shared" si="4"/>
        <v>0.0087765362783011</v>
      </c>
      <c r="D125">
        <f t="shared" si="7"/>
        <v>1.53347900465825e-5</v>
      </c>
      <c r="E125">
        <f t="shared" si="5"/>
        <v>2.01820628337334e-5</v>
      </c>
      <c r="F125">
        <f t="shared" si="6"/>
        <v>2.34960534730533e-11</v>
      </c>
    </row>
    <row r="126" spans="1:6">
      <c r="A126">
        <v>1.2701</v>
      </c>
      <c r="B126">
        <v>1336.35</v>
      </c>
      <c r="C126">
        <f t="shared" si="4"/>
        <v>0.0074961293210942</v>
      </c>
      <c r="D126">
        <f t="shared" si="7"/>
        <v>4.61811895454589e-5</v>
      </c>
      <c r="E126">
        <f t="shared" si="5"/>
        <v>1.8248479075015e-5</v>
      </c>
      <c r="F126">
        <f t="shared" si="6"/>
        <v>7.80236314225649e-10</v>
      </c>
    </row>
    <row r="127" spans="1:6">
      <c r="A127">
        <v>1.273</v>
      </c>
      <c r="B127">
        <v>1336.59</v>
      </c>
      <c r="C127">
        <f t="shared" si="4"/>
        <v>0.00017957754431076</v>
      </c>
      <c r="D127">
        <f t="shared" si="7"/>
        <v>5.11865721720136e-5</v>
      </c>
      <c r="E127">
        <f t="shared" si="5"/>
        <v>1.9584004684296e-5</v>
      </c>
      <c r="F127">
        <f t="shared" si="6"/>
        <v>9.98722271815741e-10</v>
      </c>
    </row>
    <row r="128" spans="1:6">
      <c r="A128">
        <v>1.2796</v>
      </c>
      <c r="B128">
        <v>1338.88</v>
      </c>
      <c r="C128">
        <f t="shared" si="4"/>
        <v>0.00171184917732091</v>
      </c>
      <c r="D128">
        <f t="shared" si="7"/>
        <v>2.56094101332171e-5</v>
      </c>
      <c r="E128">
        <f t="shared" si="5"/>
        <v>1.9624481062649e-5</v>
      </c>
      <c r="F128">
        <f t="shared" si="6"/>
        <v>3.58193759797311e-11</v>
      </c>
    </row>
    <row r="129" spans="1:6">
      <c r="A129">
        <v>1.2747</v>
      </c>
      <c r="B129">
        <v>1335.85</v>
      </c>
      <c r="C129">
        <f t="shared" si="4"/>
        <v>-0.00226565021226492</v>
      </c>
      <c r="D129">
        <f t="shared" si="7"/>
        <v>1.42699188695557e-5</v>
      </c>
      <c r="E129">
        <f t="shared" si="5"/>
        <v>1.99571531135629e-5</v>
      </c>
      <c r="F129">
        <f t="shared" si="6"/>
        <v>3.23446333462087e-11</v>
      </c>
    </row>
    <row r="130" spans="1:6">
      <c r="A130">
        <v>1.2687</v>
      </c>
      <c r="B130">
        <v>1331.32</v>
      </c>
      <c r="C130">
        <f t="shared" si="4"/>
        <v>-0.0033968621091628</v>
      </c>
      <c r="D130">
        <f t="shared" si="7"/>
        <v>9.70154487694589e-6</v>
      </c>
      <c r="E130">
        <f t="shared" si="5"/>
        <v>2.37772589495248e-5</v>
      </c>
      <c r="F130">
        <f t="shared" si="6"/>
        <v>1.98125726652997e-10</v>
      </c>
    </row>
    <row r="131" spans="1:6">
      <c r="A131">
        <v>1.2699</v>
      </c>
      <c r="B131">
        <v>1334.11</v>
      </c>
      <c r="C131">
        <f t="shared" si="4"/>
        <v>0.00209347161167984</v>
      </c>
      <c r="D131">
        <f t="shared" si="7"/>
        <v>1.06201085328059e-5</v>
      </c>
      <c r="E131">
        <f t="shared" si="5"/>
        <v>2.29048233326042e-5</v>
      </c>
      <c r="F131">
        <f t="shared" si="6"/>
        <v>1.50914217712384e-10</v>
      </c>
    </row>
    <row r="132" spans="1:6">
      <c r="A132">
        <v>1.2697</v>
      </c>
      <c r="B132">
        <v>1350.2</v>
      </c>
      <c r="C132">
        <f t="shared" ref="C132:C195" si="8">LN(B132/B131)</f>
        <v>0.011988326761124</v>
      </c>
      <c r="D132">
        <f t="shared" si="7"/>
        <v>7.50136596085765e-6</v>
      </c>
      <c r="E132">
        <f t="shared" ref="E132:E195" si="9">_xlfn.VAR.S(C132:C157)</f>
        <v>2.29041730017725e-5</v>
      </c>
      <c r="F132">
        <f t="shared" ref="F132:F195" si="10">(D132-E132)^2</f>
        <v>2.37246464739656e-10</v>
      </c>
    </row>
    <row r="133" spans="1:6">
      <c r="A133">
        <v>1.2687</v>
      </c>
      <c r="B133">
        <v>1353.22</v>
      </c>
      <c r="C133">
        <f t="shared" si="8"/>
        <v>0.00223420797082259</v>
      </c>
      <c r="D133">
        <f t="shared" ref="D133:D196" si="11">$H$1*D132+(1-$H$1)*C132^2</f>
        <v>7.56106722461697e-5</v>
      </c>
      <c r="E133">
        <f t="shared" si="9"/>
        <v>1.98613028050029e-5</v>
      </c>
      <c r="F133">
        <f t="shared" si="10"/>
        <v>3.10799219308771e-9</v>
      </c>
    </row>
    <row r="134" spans="1:6">
      <c r="A134">
        <v>1.2744</v>
      </c>
      <c r="B134">
        <v>1349.59</v>
      </c>
      <c r="C134">
        <f t="shared" si="8"/>
        <v>-0.00268609497713083</v>
      </c>
      <c r="D134">
        <f t="shared" si="11"/>
        <v>4.03011787515285e-5</v>
      </c>
      <c r="E134">
        <f t="shared" si="9"/>
        <v>1.98237918000592e-5</v>
      </c>
      <c r="F134">
        <f t="shared" si="10"/>
        <v>4.19323376360202e-10</v>
      </c>
    </row>
    <row r="135" spans="1:6">
      <c r="A135">
        <v>1.2727</v>
      </c>
      <c r="B135">
        <v>1350.66</v>
      </c>
      <c r="C135">
        <f t="shared" si="8"/>
        <v>0.000792519252665187</v>
      </c>
      <c r="D135">
        <f t="shared" si="11"/>
        <v>2.3758142488848e-5</v>
      </c>
      <c r="E135">
        <f t="shared" si="9"/>
        <v>1.94263584099745e-5</v>
      </c>
      <c r="F135">
        <f t="shared" si="10"/>
        <v>1.87643533059816e-11</v>
      </c>
    </row>
    <row r="136" spans="1:6">
      <c r="A136">
        <v>1.2687</v>
      </c>
      <c r="B136">
        <v>1353.42</v>
      </c>
      <c r="C136">
        <f t="shared" si="8"/>
        <v>0.00204136043197309</v>
      </c>
      <c r="D136">
        <f t="shared" si="11"/>
        <v>1.21931146273465e-5</v>
      </c>
      <c r="E136">
        <f t="shared" si="9"/>
        <v>2.05252752695793e-5</v>
      </c>
      <c r="F136">
        <f t="shared" si="10"/>
        <v>6.94249009679732e-11</v>
      </c>
    </row>
    <row r="137" spans="1:6">
      <c r="A137">
        <v>1.2687</v>
      </c>
      <c r="B137">
        <v>1349.95</v>
      </c>
      <c r="C137">
        <f t="shared" si="8"/>
        <v>-0.0025671675765501</v>
      </c>
      <c r="D137">
        <f t="shared" si="11"/>
        <v>8.18013352028592e-6</v>
      </c>
      <c r="E137">
        <f t="shared" si="9"/>
        <v>2.05547101219946e-5</v>
      </c>
      <c r="F137">
        <f t="shared" si="10"/>
        <v>1.53130146071556e-10</v>
      </c>
    </row>
    <row r="138" spans="1:6">
      <c r="A138">
        <v>1.26</v>
      </c>
      <c r="B138">
        <v>1362.83</v>
      </c>
      <c r="C138">
        <f t="shared" si="8"/>
        <v>0.00949586533658212</v>
      </c>
      <c r="D138">
        <f t="shared" si="11"/>
        <v>7.38524144318802e-6</v>
      </c>
      <c r="E138">
        <f t="shared" si="9"/>
        <v>1.9994916964349e-5</v>
      </c>
      <c r="F138">
        <f t="shared" si="10"/>
        <v>1.59003916748967e-10</v>
      </c>
    </row>
    <row r="139" spans="1:6">
      <c r="A139">
        <v>1.2541</v>
      </c>
      <c r="B139">
        <v>1365.62</v>
      </c>
      <c r="C139">
        <f t="shared" si="8"/>
        <v>0.00204511790388882</v>
      </c>
      <c r="D139">
        <f t="shared" si="11"/>
        <v>4.87783499668449e-5</v>
      </c>
      <c r="E139">
        <f t="shared" si="9"/>
        <v>1.72640702528799e-5</v>
      </c>
      <c r="F139">
        <f t="shared" si="10"/>
        <v>9.93149825890026e-10</v>
      </c>
    </row>
    <row r="140" spans="1:6">
      <c r="A140">
        <v>1.2547</v>
      </c>
      <c r="B140">
        <v>1369.06</v>
      </c>
      <c r="C140">
        <f t="shared" si="8"/>
        <v>0.00251583498942119</v>
      </c>
      <c r="D140">
        <f t="shared" si="11"/>
        <v>2.64804286038258e-5</v>
      </c>
      <c r="E140">
        <f t="shared" si="9"/>
        <v>1.73142047305969e-5</v>
      </c>
      <c r="F140">
        <f t="shared" si="10"/>
        <v>8.40196600941516e-11</v>
      </c>
    </row>
    <row r="141" spans="1:6">
      <c r="A141">
        <v>1.2537</v>
      </c>
      <c r="B141">
        <v>1364.05</v>
      </c>
      <c r="C141">
        <f t="shared" si="8"/>
        <v>-0.00366615731638679</v>
      </c>
      <c r="D141">
        <f t="shared" si="11"/>
        <v>1.64049271489108e-5</v>
      </c>
      <c r="E141">
        <f t="shared" si="9"/>
        <v>1.72358542289328e-5</v>
      </c>
      <c r="F141">
        <f t="shared" si="10"/>
        <v>6.90439812313765e-13</v>
      </c>
    </row>
    <row r="142" spans="1:6">
      <c r="A142">
        <v>1.2502</v>
      </c>
      <c r="B142">
        <v>1365.8</v>
      </c>
      <c r="C142">
        <f t="shared" si="8"/>
        <v>0.00128212190393327</v>
      </c>
      <c r="D142">
        <f t="shared" si="11"/>
        <v>1.49228183087036e-5</v>
      </c>
      <c r="E142">
        <f t="shared" si="9"/>
        <v>1.64112690189615e-5</v>
      </c>
      <c r="F142">
        <f t="shared" si="10"/>
        <v>2.21548551686733e-12</v>
      </c>
    </row>
    <row r="143" spans="1:6">
      <c r="A143">
        <v>1.2518</v>
      </c>
      <c r="B143">
        <v>1366.96</v>
      </c>
      <c r="C143">
        <f t="shared" si="8"/>
        <v>0.000848958613029038</v>
      </c>
      <c r="D143">
        <f t="shared" si="11"/>
        <v>8.28332744262455e-6</v>
      </c>
      <c r="E143">
        <f t="shared" si="9"/>
        <v>1.73061767748542e-5</v>
      </c>
      <c r="F143">
        <f t="shared" si="10"/>
        <v>8.14118100721176e-11</v>
      </c>
    </row>
    <row r="144" spans="1:6">
      <c r="A144">
        <v>1.2564</v>
      </c>
      <c r="B144">
        <v>1368.6</v>
      </c>
      <c r="C144">
        <f t="shared" si="8"/>
        <v>0.00119902337837928</v>
      </c>
      <c r="D144">
        <f t="shared" si="11"/>
        <v>4.50202908463037e-6</v>
      </c>
      <c r="E144">
        <f t="shared" si="9"/>
        <v>2.55379587452683e-5</v>
      </c>
      <c r="F144">
        <f t="shared" si="10"/>
        <v>4.42510336687306e-10</v>
      </c>
    </row>
    <row r="145" spans="1:6">
      <c r="A145">
        <v>1.2516</v>
      </c>
      <c r="B145">
        <v>1377.02</v>
      </c>
      <c r="C145">
        <f t="shared" si="8"/>
        <v>0.00613342443303033</v>
      </c>
      <c r="D145">
        <f t="shared" si="11"/>
        <v>2.96984307326521e-6</v>
      </c>
      <c r="E145">
        <f t="shared" si="9"/>
        <v>2.58704582494914e-5</v>
      </c>
      <c r="F145">
        <f t="shared" si="10"/>
        <v>5.24438175449603e-10</v>
      </c>
    </row>
    <row r="146" spans="1:6">
      <c r="A146">
        <v>1.2594</v>
      </c>
      <c r="B146">
        <v>1377.38</v>
      </c>
      <c r="C146">
        <f t="shared" si="8"/>
        <v>0.000261399943399746</v>
      </c>
      <c r="D146">
        <f t="shared" si="11"/>
        <v>2.02943691744793e-5</v>
      </c>
      <c r="E146">
        <f t="shared" si="9"/>
        <v>2.75850002055825e-5</v>
      </c>
      <c r="F146">
        <f t="shared" si="10"/>
        <v>5.31533008316844e-11</v>
      </c>
    </row>
    <row r="147" spans="1:6">
      <c r="A147">
        <v>1.2613</v>
      </c>
      <c r="B147">
        <v>1382.22</v>
      </c>
      <c r="C147">
        <f t="shared" si="8"/>
        <v>0.00350775834378956</v>
      </c>
      <c r="D147">
        <f t="shared" si="11"/>
        <v>1.01813495524444e-5</v>
      </c>
      <c r="E147">
        <f t="shared" si="9"/>
        <v>2.75808947573668e-5</v>
      </c>
      <c r="F147">
        <f t="shared" si="10"/>
        <v>3.02744173338138e-10</v>
      </c>
    </row>
    <row r="148" spans="1:6">
      <c r="A148">
        <v>1.2544</v>
      </c>
      <c r="B148">
        <v>1389.08</v>
      </c>
      <c r="C148">
        <f t="shared" si="8"/>
        <v>0.00495075524954456</v>
      </c>
      <c r="D148">
        <f t="shared" si="11"/>
        <v>1.12428590754348e-5</v>
      </c>
      <c r="E148">
        <f t="shared" si="9"/>
        <v>2.76666690983601e-5</v>
      </c>
      <c r="F148">
        <f t="shared" si="10"/>
        <v>2.69741535669142e-10</v>
      </c>
    </row>
    <row r="149" spans="1:6">
      <c r="A149">
        <v>1.2565</v>
      </c>
      <c r="B149">
        <v>1377.34</v>
      </c>
      <c r="C149">
        <f t="shared" si="8"/>
        <v>-0.00848755465740088</v>
      </c>
      <c r="D149">
        <f t="shared" si="11"/>
        <v>1.78764183081639e-5</v>
      </c>
      <c r="E149">
        <f t="shared" si="9"/>
        <v>2.96679556800757e-5</v>
      </c>
      <c r="F149">
        <f t="shared" si="10"/>
        <v>1.39040353593192e-10</v>
      </c>
    </row>
    <row r="150" spans="1:6">
      <c r="A150">
        <v>1.2591</v>
      </c>
      <c r="B150">
        <v>1377.93</v>
      </c>
      <c r="C150">
        <f t="shared" si="8"/>
        <v>0.000428270194222703</v>
      </c>
      <c r="D150">
        <f t="shared" si="11"/>
        <v>4.49575011852656e-5</v>
      </c>
      <c r="E150">
        <f t="shared" si="9"/>
        <v>2.663483871748e-5</v>
      </c>
      <c r="F150">
        <f t="shared" si="10"/>
        <v>3.35719959908402e-10</v>
      </c>
    </row>
    <row r="151" spans="1:6">
      <c r="A151">
        <v>1.2669</v>
      </c>
      <c r="B151">
        <v>1377.94</v>
      </c>
      <c r="C151">
        <f t="shared" si="8"/>
        <v>7.2572363718697e-6</v>
      </c>
      <c r="D151">
        <f t="shared" si="11"/>
        <v>2.25704582722626e-5</v>
      </c>
      <c r="E151">
        <f t="shared" si="9"/>
        <v>2.68358845547418e-5</v>
      </c>
      <c r="F151">
        <f t="shared" si="10"/>
        <v>1.81938613712648e-11</v>
      </c>
    </row>
    <row r="152" spans="1:6">
      <c r="A152">
        <v>1.2725</v>
      </c>
      <c r="B152">
        <v>1367.81</v>
      </c>
      <c r="C152">
        <f t="shared" si="8"/>
        <v>-0.00737870961370316</v>
      </c>
      <c r="D152">
        <f t="shared" si="11"/>
        <v>1.12852554698712e-5</v>
      </c>
      <c r="E152">
        <f t="shared" si="9"/>
        <v>2.77519219814902e-5</v>
      </c>
      <c r="F152">
        <f t="shared" si="10"/>
        <v>2.71151106004875e-10</v>
      </c>
    </row>
    <row r="153" spans="1:6">
      <c r="A153">
        <v>1.2717</v>
      </c>
      <c r="B153">
        <v>1367.34</v>
      </c>
      <c r="C153">
        <f t="shared" si="8"/>
        <v>-0.000343674024917138</v>
      </c>
      <c r="D153">
        <f t="shared" si="11"/>
        <v>3.28653055166133e-5</v>
      </c>
      <c r="E153">
        <f t="shared" si="9"/>
        <v>2.4979386555107e-5</v>
      </c>
      <c r="F153">
        <f t="shared" si="10"/>
        <v>6.21877178674443e-11</v>
      </c>
    </row>
    <row r="154" spans="1:6">
      <c r="A154">
        <v>1.2773</v>
      </c>
      <c r="B154">
        <v>1364.3</v>
      </c>
      <c r="C154">
        <f t="shared" si="8"/>
        <v>-0.0022257700539064</v>
      </c>
      <c r="D154">
        <f t="shared" si="11"/>
        <v>1.6491708676008e-5</v>
      </c>
      <c r="E154">
        <f t="shared" si="9"/>
        <v>2.4926646816449e-5</v>
      </c>
      <c r="F154">
        <f t="shared" si="10"/>
        <v>7.11481814330657e-11</v>
      </c>
    </row>
    <row r="155" spans="1:6">
      <c r="A155">
        <v>1.2771</v>
      </c>
      <c r="B155">
        <v>1379.78</v>
      </c>
      <c r="C155">
        <f t="shared" si="8"/>
        <v>0.0112825895838017</v>
      </c>
      <c r="D155">
        <f t="shared" si="11"/>
        <v>1.07228805044373e-5</v>
      </c>
      <c r="E155">
        <f t="shared" si="9"/>
        <v>2.46511305693249e-5</v>
      </c>
      <c r="F155">
        <f t="shared" si="10"/>
        <v>1.93996149870043e-10</v>
      </c>
    </row>
    <row r="156" spans="1:6">
      <c r="A156">
        <v>1.278</v>
      </c>
      <c r="B156">
        <v>1382.84</v>
      </c>
      <c r="C156">
        <f t="shared" si="8"/>
        <v>0.00221528929162475</v>
      </c>
      <c r="D156">
        <f t="shared" si="11"/>
        <v>6.90098541104739e-5</v>
      </c>
      <c r="E156">
        <f t="shared" si="9"/>
        <v>2.05162611515143e-5</v>
      </c>
      <c r="F156">
        <f t="shared" si="10"/>
        <v>2.35162855806926e-9</v>
      </c>
    </row>
    <row r="157" spans="1:6">
      <c r="A157">
        <v>1.2705</v>
      </c>
      <c r="B157">
        <v>1385.72</v>
      </c>
      <c r="C157">
        <f t="shared" si="8"/>
        <v>0.00208050469474383</v>
      </c>
      <c r="D157">
        <f t="shared" si="11"/>
        <v>3.69586803780306e-5</v>
      </c>
      <c r="E157">
        <f t="shared" si="9"/>
        <v>2.27763147746526e-5</v>
      </c>
      <c r="F157">
        <f t="shared" si="10"/>
        <v>2.0113949410788e-10</v>
      </c>
    </row>
    <row r="158" spans="1:6">
      <c r="A158">
        <v>1.2715</v>
      </c>
      <c r="B158">
        <v>1378.33</v>
      </c>
      <c r="C158">
        <f t="shared" si="8"/>
        <v>-0.00534723873192654</v>
      </c>
      <c r="D158">
        <f t="shared" si="11"/>
        <v>2.06435900814409e-5</v>
      </c>
      <c r="E158">
        <f t="shared" si="9"/>
        <v>2.2741703905715e-5</v>
      </c>
      <c r="F158">
        <f t="shared" si="10"/>
        <v>4.40208161961038e-12</v>
      </c>
    </row>
    <row r="159" spans="1:6">
      <c r="A159">
        <v>1.2806</v>
      </c>
      <c r="B159">
        <v>1380.9</v>
      </c>
      <c r="C159">
        <f t="shared" si="8"/>
        <v>0.00186283908423354</v>
      </c>
      <c r="D159">
        <f t="shared" si="11"/>
        <v>2.46182760688281e-5</v>
      </c>
      <c r="E159">
        <f t="shared" si="9"/>
        <v>2.18187460269973e-5</v>
      </c>
      <c r="F159">
        <f t="shared" si="10"/>
        <v>7.83736845511298e-12</v>
      </c>
    </row>
    <row r="160" spans="1:6">
      <c r="A160">
        <v>1.2775</v>
      </c>
      <c r="B160">
        <v>1384.42</v>
      </c>
      <c r="C160">
        <f t="shared" si="8"/>
        <v>0.00254581885723884</v>
      </c>
      <c r="D160">
        <f t="shared" si="11"/>
        <v>1.40442227612881e-5</v>
      </c>
      <c r="E160">
        <f t="shared" si="9"/>
        <v>2.18372908950386e-5</v>
      </c>
      <c r="F160">
        <f t="shared" si="10"/>
        <v>6.07319109372773e-11</v>
      </c>
    </row>
    <row r="161" spans="1:6">
      <c r="A161">
        <v>1.2835</v>
      </c>
      <c r="B161">
        <v>1393.22</v>
      </c>
      <c r="C161">
        <f t="shared" si="8"/>
        <v>0.00633633548097538</v>
      </c>
      <c r="D161">
        <f t="shared" si="11"/>
        <v>1.02627082075805e-5</v>
      </c>
      <c r="E161">
        <f t="shared" si="9"/>
        <v>2.20224161042722e-5</v>
      </c>
      <c r="F161">
        <f t="shared" si="10"/>
        <v>1.38290729815514e-10</v>
      </c>
    </row>
    <row r="162" spans="1:6">
      <c r="A162">
        <v>1.2861</v>
      </c>
      <c r="B162">
        <v>1396.57</v>
      </c>
      <c r="C162">
        <f t="shared" si="8"/>
        <v>0.00240161561276329</v>
      </c>
      <c r="D162">
        <f t="shared" si="11"/>
        <v>2.5205927767524e-5</v>
      </c>
      <c r="E162">
        <f t="shared" si="9"/>
        <v>2.1662634871838e-5</v>
      </c>
      <c r="F162">
        <f t="shared" si="10"/>
        <v>1.25549245446189e-11</v>
      </c>
    </row>
    <row r="163" spans="1:6">
      <c r="A163">
        <v>1.281</v>
      </c>
      <c r="B163">
        <v>1399.76</v>
      </c>
      <c r="C163">
        <f t="shared" si="8"/>
        <v>0.00228156289408127</v>
      </c>
      <c r="D163">
        <f t="shared" si="11"/>
        <v>1.54868426594962e-5</v>
      </c>
      <c r="E163">
        <f t="shared" si="9"/>
        <v>2.2900938412331e-5</v>
      </c>
      <c r="F163">
        <f t="shared" si="10"/>
        <v>5.49688158322027e-11</v>
      </c>
    </row>
    <row r="164" spans="1:6">
      <c r="A164">
        <v>1.2812</v>
      </c>
      <c r="B164">
        <v>1401.2</v>
      </c>
      <c r="C164">
        <f t="shared" si="8"/>
        <v>0.00102821898696735</v>
      </c>
      <c r="D164">
        <f t="shared" si="11"/>
        <v>1.03461859495723e-5</v>
      </c>
      <c r="E164">
        <f t="shared" si="9"/>
        <v>2.33764674381477e-5</v>
      </c>
      <c r="F164">
        <f t="shared" si="10"/>
        <v>1.6978823567151e-10</v>
      </c>
    </row>
    <row r="165" spans="1:6">
      <c r="A165">
        <v>1.2808</v>
      </c>
      <c r="B165">
        <v>1400.5</v>
      </c>
      <c r="C165">
        <f t="shared" si="8"/>
        <v>-0.000499696623168548</v>
      </c>
      <c r="D165">
        <f t="shared" si="11"/>
        <v>5.70171011736625e-6</v>
      </c>
      <c r="E165">
        <f t="shared" si="9"/>
        <v>2.50110581049447e-5</v>
      </c>
      <c r="F165">
        <f t="shared" si="10"/>
        <v>3.72850919705402e-10</v>
      </c>
    </row>
    <row r="166" spans="1:6">
      <c r="A166">
        <v>1.2808</v>
      </c>
      <c r="B166">
        <v>1402.81</v>
      </c>
      <c r="C166">
        <f t="shared" si="8"/>
        <v>0.00164805214039432</v>
      </c>
      <c r="D166">
        <f t="shared" si="11"/>
        <v>2.97570341628615e-6</v>
      </c>
      <c r="E166">
        <f t="shared" si="9"/>
        <v>2.51418838927294e-5</v>
      </c>
      <c r="F166">
        <f t="shared" si="10"/>
        <v>4.91339556914254e-10</v>
      </c>
    </row>
    <row r="167" spans="1:6">
      <c r="A167">
        <v>1.2823</v>
      </c>
      <c r="B167">
        <v>1406.09</v>
      </c>
      <c r="C167">
        <f t="shared" si="8"/>
        <v>0.00233543486121236</v>
      </c>
      <c r="D167">
        <f t="shared" si="11"/>
        <v>2.84588963687223e-6</v>
      </c>
      <c r="E167">
        <f t="shared" si="9"/>
        <v>2.61187920410415e-5</v>
      </c>
      <c r="F167">
        <f t="shared" si="10"/>
        <v>5.41627986313986e-10</v>
      </c>
    </row>
    <row r="168" spans="1:6">
      <c r="A168">
        <v>1.281</v>
      </c>
      <c r="B168">
        <v>1400.95</v>
      </c>
      <c r="C168">
        <f t="shared" si="8"/>
        <v>-0.00366222479534195</v>
      </c>
      <c r="D168">
        <f t="shared" si="11"/>
        <v>4.15007281391911e-6</v>
      </c>
      <c r="E168">
        <f t="shared" si="9"/>
        <v>2.60583740359504e-5</v>
      </c>
      <c r="F168">
        <f t="shared" si="10"/>
        <v>4.79973662435259e-10</v>
      </c>
    </row>
    <row r="169" spans="1:6">
      <c r="A169">
        <v>1.2824</v>
      </c>
      <c r="B169">
        <v>1381.96</v>
      </c>
      <c r="C169">
        <f t="shared" si="8"/>
        <v>-0.0136477965577437</v>
      </c>
      <c r="D169">
        <f t="shared" si="11"/>
        <v>8.78098163276825e-6</v>
      </c>
      <c r="E169">
        <f t="shared" si="9"/>
        <v>2.54333474652939e-5</v>
      </c>
      <c r="F169">
        <f t="shared" si="10"/>
        <v>2.77301287820267e-10</v>
      </c>
    </row>
    <row r="170" spans="1:6">
      <c r="A170">
        <v>1.2928</v>
      </c>
      <c r="B170">
        <v>1386.72</v>
      </c>
      <c r="C170">
        <f t="shared" si="8"/>
        <v>0.00343846503735029</v>
      </c>
      <c r="D170">
        <f t="shared" si="11"/>
        <v>9.75216662571645e-5</v>
      </c>
      <c r="E170">
        <f t="shared" si="9"/>
        <v>1.9098841607572e-5</v>
      </c>
      <c r="F170">
        <f t="shared" si="10"/>
        <v>6.15013942602073e-9</v>
      </c>
    </row>
    <row r="171" spans="1:6">
      <c r="A171">
        <v>1.3081</v>
      </c>
      <c r="B171">
        <v>1399.48</v>
      </c>
      <c r="C171">
        <f t="shared" si="8"/>
        <v>0.00915949264920941</v>
      </c>
      <c r="D171">
        <f t="shared" si="11"/>
        <v>5.46723540351224e-5</v>
      </c>
      <c r="E171">
        <f t="shared" si="9"/>
        <v>1.88950512470697e-5</v>
      </c>
      <c r="F171">
        <f t="shared" si="10"/>
        <v>1.28001539478801e-9</v>
      </c>
    </row>
    <row r="172" spans="1:6">
      <c r="A172">
        <v>1.312</v>
      </c>
      <c r="B172">
        <v>1400.63</v>
      </c>
      <c r="C172">
        <f t="shared" si="8"/>
        <v>0.000821396348470725</v>
      </c>
      <c r="D172">
        <f t="shared" si="11"/>
        <v>6.92843298130218e-5</v>
      </c>
      <c r="E172">
        <f t="shared" si="9"/>
        <v>1.59614232074032e-5</v>
      </c>
      <c r="F172">
        <f t="shared" si="10"/>
        <v>2.84333236887153e-9</v>
      </c>
    </row>
    <row r="173" spans="1:6">
      <c r="A173">
        <v>1.3162</v>
      </c>
      <c r="B173">
        <v>1396.71</v>
      </c>
      <c r="C173">
        <f t="shared" si="8"/>
        <v>-0.00280266436396199</v>
      </c>
      <c r="D173">
        <f t="shared" si="11"/>
        <v>3.49795108871514e-5</v>
      </c>
      <c r="E173">
        <f t="shared" si="9"/>
        <v>1.60519430830611e-5</v>
      </c>
      <c r="F173">
        <f t="shared" si="10"/>
        <v>3.58252822978437e-10</v>
      </c>
    </row>
    <row r="174" spans="1:6">
      <c r="A174">
        <v>1.3146</v>
      </c>
      <c r="B174">
        <v>1409.12</v>
      </c>
      <c r="C174">
        <f t="shared" si="8"/>
        <v>0.00884592503739639</v>
      </c>
      <c r="D174">
        <f t="shared" si="11"/>
        <v>2.14172192120869e-5</v>
      </c>
      <c r="E174">
        <f t="shared" si="9"/>
        <v>1.69238107925182e-5</v>
      </c>
      <c r="F174">
        <f t="shared" si="10"/>
        <v>2.01907192250511e-11</v>
      </c>
    </row>
    <row r="175" spans="1:6">
      <c r="A175">
        <v>1.3261</v>
      </c>
      <c r="B175">
        <v>1414.76</v>
      </c>
      <c r="C175">
        <f t="shared" si="8"/>
        <v>0.00399450932714371</v>
      </c>
      <c r="D175">
        <f t="shared" si="11"/>
        <v>4.98338044896616e-5</v>
      </c>
      <c r="E175">
        <f t="shared" si="9"/>
        <v>1.49435611473042e-5</v>
      </c>
      <c r="F175">
        <f t="shared" si="10"/>
        <v>1.21732908048892e-9</v>
      </c>
    </row>
    <row r="176" spans="1:6">
      <c r="A176">
        <v>1.3316</v>
      </c>
      <c r="B176">
        <v>1412.9</v>
      </c>
      <c r="C176">
        <f t="shared" si="8"/>
        <v>-0.00131557561253081</v>
      </c>
      <c r="D176">
        <f t="shared" si="11"/>
        <v>3.28949546271499e-5</v>
      </c>
      <c r="E176">
        <f t="shared" si="9"/>
        <v>1.44652949361019e-5</v>
      </c>
      <c r="F176">
        <f t="shared" si="10"/>
        <v>3.39652356327838e-10</v>
      </c>
    </row>
    <row r="177" spans="1:6">
      <c r="A177">
        <v>1.3327</v>
      </c>
      <c r="B177">
        <v>1407.29</v>
      </c>
      <c r="C177">
        <f t="shared" si="8"/>
        <v>-0.00397846059992964</v>
      </c>
      <c r="D177">
        <f t="shared" si="11"/>
        <v>1.73128469097178e-5</v>
      </c>
      <c r="E177">
        <f t="shared" si="9"/>
        <v>1.44121754365207e-5</v>
      </c>
      <c r="F177">
        <f t="shared" si="10"/>
        <v>8.41389499541974e-12</v>
      </c>
    </row>
    <row r="178" spans="1:6">
      <c r="A178">
        <v>1.3327</v>
      </c>
      <c r="B178">
        <v>1409.84</v>
      </c>
      <c r="C178">
        <f t="shared" si="8"/>
        <v>0.00181035358428121</v>
      </c>
      <c r="D178">
        <f t="shared" si="11"/>
        <v>1.65704978274552e-5</v>
      </c>
      <c r="E178">
        <f t="shared" si="9"/>
        <v>1.4093088240691e-5</v>
      </c>
      <c r="F178">
        <f t="shared" si="10"/>
        <v>6.13755826059097e-12</v>
      </c>
    </row>
    <row r="179" spans="1:6">
      <c r="A179">
        <v>1.3307</v>
      </c>
      <c r="B179">
        <v>1413.04</v>
      </c>
      <c r="C179">
        <f t="shared" si="8"/>
        <v>0.00226718909107408</v>
      </c>
      <c r="D179">
        <f t="shared" si="11"/>
        <v>9.9239389637875e-6</v>
      </c>
      <c r="E179">
        <f t="shared" si="9"/>
        <v>1.42497852619628e-5</v>
      </c>
      <c r="F179">
        <f t="shared" si="10"/>
        <v>1.87129461954367e-11</v>
      </c>
    </row>
    <row r="180" spans="1:6">
      <c r="A180">
        <v>1.3296</v>
      </c>
      <c r="B180">
        <v>1411.56</v>
      </c>
      <c r="C180">
        <f t="shared" si="8"/>
        <v>-0.00104793608683773</v>
      </c>
      <c r="D180">
        <f t="shared" si="11"/>
        <v>7.53204266923641e-6</v>
      </c>
      <c r="E180">
        <f t="shared" si="9"/>
        <v>1.5414782558397e-5</v>
      </c>
      <c r="F180">
        <f t="shared" si="10"/>
        <v>6.21375881601628e-11</v>
      </c>
    </row>
    <row r="181" spans="1:6">
      <c r="A181">
        <v>1.3215</v>
      </c>
      <c r="B181">
        <v>1413.21</v>
      </c>
      <c r="C181">
        <f t="shared" si="8"/>
        <v>0.00116823683886266</v>
      </c>
      <c r="D181">
        <f t="shared" si="11"/>
        <v>4.31510635566659e-6</v>
      </c>
      <c r="E181">
        <f t="shared" si="9"/>
        <v>1.574000897396e-5</v>
      </c>
      <c r="F181">
        <f t="shared" si="10"/>
        <v>1.30528399837488e-10</v>
      </c>
    </row>
    <row r="182" spans="1:6">
      <c r="A182">
        <v>1.3223</v>
      </c>
      <c r="B182">
        <v>1425.49</v>
      </c>
      <c r="C182">
        <f t="shared" si="8"/>
        <v>0.00865190164648071</v>
      </c>
      <c r="D182">
        <f t="shared" si="11"/>
        <v>2.83994183367121e-6</v>
      </c>
      <c r="E182">
        <f t="shared" si="9"/>
        <v>1.82102624339334e-5</v>
      </c>
      <c r="F182">
        <f t="shared" si="10"/>
        <v>2.36246755354845e-10</v>
      </c>
    </row>
    <row r="183" spans="1:6">
      <c r="A183">
        <v>1.3233</v>
      </c>
      <c r="B183">
        <v>1427.09</v>
      </c>
      <c r="C183">
        <f t="shared" si="8"/>
        <v>0.00112179161866713</v>
      </c>
      <c r="D183">
        <f t="shared" si="11"/>
        <v>3.88476719670234e-5</v>
      </c>
      <c r="E183">
        <f t="shared" si="9"/>
        <v>2.09001241376856e-5</v>
      </c>
      <c r="F183">
        <f t="shared" si="10"/>
        <v>3.22114473086369e-10</v>
      </c>
    </row>
    <row r="184" spans="1:6">
      <c r="A184">
        <v>1.3215</v>
      </c>
      <c r="B184">
        <v>1422.48</v>
      </c>
      <c r="C184">
        <f t="shared" si="8"/>
        <v>-0.00323557871666835</v>
      </c>
      <c r="D184">
        <f t="shared" si="11"/>
        <v>2.00530442013676e-5</v>
      </c>
      <c r="E184">
        <f t="shared" si="9"/>
        <v>2.08918655669909e-5</v>
      </c>
      <c r="F184">
        <f t="shared" si="10"/>
        <v>7.03621283426195e-13</v>
      </c>
    </row>
    <row r="185" spans="1:6">
      <c r="A185">
        <v>1.3174</v>
      </c>
      <c r="B185">
        <v>1425.55</v>
      </c>
      <c r="C185">
        <f t="shared" si="8"/>
        <v>0.00215587700204248</v>
      </c>
      <c r="D185">
        <f t="shared" si="11"/>
        <v>1.52610069165624e-5</v>
      </c>
      <c r="E185">
        <f t="shared" si="9"/>
        <v>2.05369284473726e-5</v>
      </c>
      <c r="F185">
        <f t="shared" si="10"/>
        <v>2.78353479992666e-11</v>
      </c>
    </row>
    <row r="186" spans="1:6">
      <c r="A186">
        <v>1.3095</v>
      </c>
      <c r="B186">
        <v>1423.53</v>
      </c>
      <c r="C186">
        <f t="shared" si="8"/>
        <v>-0.00141800183811805</v>
      </c>
      <c r="D186">
        <f t="shared" si="11"/>
        <v>9.95440628224904e-6</v>
      </c>
      <c r="E186">
        <f t="shared" si="9"/>
        <v>2.16706198727095e-5</v>
      </c>
      <c r="F186">
        <f t="shared" si="10"/>
        <v>1.37269660897291e-10</v>
      </c>
    </row>
    <row r="187" spans="1:6">
      <c r="A187">
        <v>1.3073</v>
      </c>
      <c r="B187">
        <v>1418.3</v>
      </c>
      <c r="C187">
        <f t="shared" si="8"/>
        <v>-0.00368073101105494</v>
      </c>
      <c r="D187">
        <f t="shared" si="11"/>
        <v>5.9825677475776e-6</v>
      </c>
      <c r="E187">
        <f t="shared" si="9"/>
        <v>2.31629057463842e-5</v>
      </c>
      <c r="F187">
        <f t="shared" si="10"/>
        <v>2.95164013753239e-10</v>
      </c>
    </row>
    <row r="188" spans="1:6">
      <c r="A188">
        <v>1.3194</v>
      </c>
      <c r="B188">
        <v>1410.76</v>
      </c>
      <c r="C188">
        <f t="shared" si="8"/>
        <v>-0.00533040504829411</v>
      </c>
      <c r="D188">
        <f t="shared" si="11"/>
        <v>9.76517426165956e-6</v>
      </c>
      <c r="E188">
        <f t="shared" si="9"/>
        <v>2.33508941459952e-5</v>
      </c>
      <c r="F188">
        <f t="shared" si="10"/>
        <v>1.84571784775633e-10</v>
      </c>
    </row>
    <row r="189" spans="1:6">
      <c r="A189">
        <v>1.3183</v>
      </c>
      <c r="B189">
        <v>1416.9</v>
      </c>
      <c r="C189">
        <f t="shared" si="8"/>
        <v>0.00434282031791343</v>
      </c>
      <c r="D189">
        <f t="shared" si="11"/>
        <v>1.90891961202694e-5</v>
      </c>
      <c r="E189">
        <f t="shared" si="9"/>
        <v>2.18360275255701e-5</v>
      </c>
      <c r="F189">
        <f t="shared" si="10"/>
        <v>7.54508276914571e-12</v>
      </c>
    </row>
    <row r="190" spans="1:6">
      <c r="A190">
        <v>1.3175</v>
      </c>
      <c r="B190">
        <v>1426.84</v>
      </c>
      <c r="C190">
        <f t="shared" si="8"/>
        <v>0.00699082228469479</v>
      </c>
      <c r="D190">
        <f t="shared" si="11"/>
        <v>1.89746422169756e-5</v>
      </c>
      <c r="E190">
        <f t="shared" si="9"/>
        <v>2.15057396746066e-5</v>
      </c>
      <c r="F190">
        <f t="shared" si="10"/>
        <v>6.40645434002643e-12</v>
      </c>
    </row>
    <row r="191" spans="1:6">
      <c r="A191">
        <v>1.3131</v>
      </c>
      <c r="B191">
        <v>1424.73</v>
      </c>
      <c r="C191">
        <f t="shared" si="8"/>
        <v>-0.00147988678874187</v>
      </c>
      <c r="D191">
        <f t="shared" si="11"/>
        <v>3.39231192165804e-5</v>
      </c>
      <c r="E191">
        <f t="shared" si="9"/>
        <v>1.99163260633128e-5</v>
      </c>
      <c r="F191">
        <f t="shared" si="10"/>
        <v>1.96190254438424e-10</v>
      </c>
    </row>
    <row r="192" spans="1:6">
      <c r="A192">
        <v>1.3132</v>
      </c>
      <c r="B192">
        <v>1418.3</v>
      </c>
      <c r="C192">
        <f t="shared" si="8"/>
        <v>-0.00452335076557234</v>
      </c>
      <c r="D192">
        <f t="shared" si="11"/>
        <v>1.80565920620366e-5</v>
      </c>
      <c r="E192">
        <f t="shared" si="9"/>
        <v>1.9763575030214e-5</v>
      </c>
      <c r="F192">
        <f t="shared" si="10"/>
        <v>2.91379085364767e-12</v>
      </c>
    </row>
    <row r="193" spans="1:6">
      <c r="A193">
        <v>1.3125</v>
      </c>
      <c r="B193">
        <v>1416.6</v>
      </c>
      <c r="C193">
        <f t="shared" si="8"/>
        <v>-0.00119933698103967</v>
      </c>
      <c r="D193">
        <f t="shared" si="11"/>
        <v>1.92586471052202e-5</v>
      </c>
      <c r="E193">
        <f t="shared" si="9"/>
        <v>1.88026402923057e-5</v>
      </c>
      <c r="F193">
        <f t="shared" si="10"/>
        <v>2.07942213424459e-13</v>
      </c>
    </row>
    <row r="194" spans="1:6">
      <c r="A194">
        <v>1.3158</v>
      </c>
      <c r="B194">
        <v>1418.34</v>
      </c>
      <c r="C194">
        <f t="shared" si="8"/>
        <v>0.0012275393613225</v>
      </c>
      <c r="D194">
        <f t="shared" si="11"/>
        <v>1.03485281496548e-5</v>
      </c>
      <c r="E194">
        <f t="shared" si="9"/>
        <v>2.10895530030222e-5</v>
      </c>
      <c r="F194">
        <f t="shared" si="10"/>
        <v>1.15369614900656e-10</v>
      </c>
    </row>
    <row r="195" spans="1:6">
      <c r="A195">
        <v>1.3197</v>
      </c>
      <c r="B195">
        <v>1409.71</v>
      </c>
      <c r="C195">
        <f t="shared" si="8"/>
        <v>-0.006103164221244</v>
      </c>
      <c r="D195">
        <f t="shared" si="11"/>
        <v>5.92769051662542e-6</v>
      </c>
      <c r="E195">
        <f t="shared" si="9"/>
        <v>2.16329637415606e-5</v>
      </c>
      <c r="F195">
        <f t="shared" si="10"/>
        <v>2.46655607069865e-10</v>
      </c>
    </row>
    <row r="196" spans="1:6">
      <c r="A196">
        <v>1.3286</v>
      </c>
      <c r="B196">
        <v>1412.84</v>
      </c>
      <c r="C196">
        <f t="shared" ref="C196:C259" si="12">LN(B196/B195)</f>
        <v>0.00221785356008309</v>
      </c>
      <c r="D196">
        <f t="shared" si="11"/>
        <v>2.15881520140491e-5</v>
      </c>
      <c r="E196">
        <f t="shared" ref="E196:E259" si="13">_xlfn.VAR.S(C196:C221)</f>
        <v>2.17034561504834e-5</v>
      </c>
      <c r="F196">
        <f t="shared" ref="F196:F259" si="14">(D196-E196)^2</f>
        <v>1.32950438788566e-14</v>
      </c>
    </row>
    <row r="197" spans="1:6">
      <c r="A197">
        <v>1.3169</v>
      </c>
      <c r="B197">
        <v>1412.11</v>
      </c>
      <c r="C197">
        <f t="shared" si="12"/>
        <v>-0.000516823318111082</v>
      </c>
      <c r="D197">
        <f t="shared" ref="D197:D260" si="15">$H$1*D196+(1-$H$1)*C196^2</f>
        <v>1.32535132140112e-5</v>
      </c>
      <c r="E197">
        <f t="shared" si="13"/>
        <v>2.33793115273014e-5</v>
      </c>
      <c r="F197">
        <f t="shared" si="14"/>
        <v>1.02531791481432e-10</v>
      </c>
    </row>
    <row r="198" spans="1:6">
      <c r="A198">
        <v>1.3094</v>
      </c>
      <c r="B198">
        <v>1414.85</v>
      </c>
      <c r="C198">
        <f t="shared" si="12"/>
        <v>0.00193847868948138</v>
      </c>
      <c r="D198">
        <f t="shared" si="15"/>
        <v>6.76030977807727e-6</v>
      </c>
      <c r="E198">
        <f t="shared" si="13"/>
        <v>2.32663607696897e-5</v>
      </c>
      <c r="F198">
        <f t="shared" si="14"/>
        <v>2.72449719337708e-10</v>
      </c>
    </row>
    <row r="199" spans="1:6">
      <c r="A199">
        <v>1.3005</v>
      </c>
      <c r="B199">
        <v>1423.82</v>
      </c>
      <c r="C199">
        <f t="shared" si="12"/>
        <v>0.00631988209676379</v>
      </c>
      <c r="D199">
        <f t="shared" si="15"/>
        <v>5.25900470382536e-6</v>
      </c>
      <c r="E199">
        <f t="shared" si="13"/>
        <v>2.34038346726613e-5</v>
      </c>
      <c r="F199">
        <f t="shared" si="14"/>
        <v>3.29234854597967e-10</v>
      </c>
    </row>
    <row r="200" spans="1:6">
      <c r="A200">
        <v>1.3023</v>
      </c>
      <c r="B200">
        <v>1430.73</v>
      </c>
      <c r="C200">
        <f t="shared" si="12"/>
        <v>0.0048414030211822</v>
      </c>
      <c r="D200">
        <f t="shared" si="15"/>
        <v>2.25999572104104e-5</v>
      </c>
      <c r="E200">
        <f t="shared" si="13"/>
        <v>2.24138222209434e-5</v>
      </c>
      <c r="F200">
        <f t="shared" si="14"/>
        <v>3.46462343038929e-14</v>
      </c>
    </row>
    <row r="201" spans="1:6">
      <c r="A201">
        <v>1.2995</v>
      </c>
      <c r="B201">
        <v>1431.9</v>
      </c>
      <c r="C201">
        <f t="shared" si="12"/>
        <v>0.00081743017096094</v>
      </c>
      <c r="D201">
        <f t="shared" si="15"/>
        <v>2.30195702119613e-5</v>
      </c>
      <c r="E201">
        <f t="shared" si="13"/>
        <v>2.19733252017456e-5</v>
      </c>
      <c r="F201">
        <f t="shared" si="14"/>
        <v>1.09462862140129e-12</v>
      </c>
    </row>
    <row r="202" spans="1:6">
      <c r="A202">
        <v>1.294</v>
      </c>
      <c r="B202">
        <v>1430.62</v>
      </c>
      <c r="C202">
        <f t="shared" si="12"/>
        <v>-0.000894316955209001</v>
      </c>
      <c r="D202">
        <f t="shared" si="15"/>
        <v>1.18438811481793e-5</v>
      </c>
      <c r="E202">
        <f t="shared" si="13"/>
        <v>2.20677418562872e-5</v>
      </c>
      <c r="F202">
        <f t="shared" si="14"/>
        <v>1.04527327778793e-10</v>
      </c>
    </row>
    <row r="203" spans="1:6">
      <c r="A203">
        <v>1.2904</v>
      </c>
      <c r="B203">
        <v>1426.37</v>
      </c>
      <c r="C203">
        <f t="shared" si="12"/>
        <v>-0.00297516136558824</v>
      </c>
      <c r="D203">
        <f t="shared" si="15"/>
        <v>6.32184198227678e-6</v>
      </c>
      <c r="E203">
        <f t="shared" si="13"/>
        <v>2.2674090813797e-5</v>
      </c>
      <c r="F203">
        <f t="shared" si="14"/>
        <v>2.67396041847956e-10</v>
      </c>
    </row>
    <row r="204" spans="1:6">
      <c r="A204">
        <v>1.2926</v>
      </c>
      <c r="B204">
        <v>1430.5</v>
      </c>
      <c r="C204">
        <f t="shared" si="12"/>
        <v>0.00289127813100159</v>
      </c>
      <c r="D204">
        <f t="shared" si="15"/>
        <v>7.58671356678283e-6</v>
      </c>
      <c r="E204">
        <f t="shared" si="13"/>
        <v>2.2302905698452e-5</v>
      </c>
      <c r="F204">
        <f t="shared" si="14"/>
        <v>2.16566310856201e-10</v>
      </c>
    </row>
    <row r="205" spans="1:6">
      <c r="A205">
        <v>1.2918</v>
      </c>
      <c r="B205">
        <v>1422.95</v>
      </c>
      <c r="C205">
        <f t="shared" si="12"/>
        <v>-0.00529185205206693</v>
      </c>
      <c r="D205">
        <f t="shared" si="15"/>
        <v>7.97310139879544e-6</v>
      </c>
      <c r="E205">
        <f t="shared" si="13"/>
        <v>7.15656259471347e-5</v>
      </c>
      <c r="F205">
        <f t="shared" si="14"/>
        <v>4.04400917843113e-9</v>
      </c>
    </row>
    <row r="206" spans="1:6">
      <c r="A206">
        <v>1.2948</v>
      </c>
      <c r="B206">
        <v>1427.99</v>
      </c>
      <c r="C206">
        <f t="shared" si="12"/>
        <v>0.00353567963579138</v>
      </c>
      <c r="D206">
        <f t="shared" si="15"/>
        <v>1.79883997698802e-5</v>
      </c>
      <c r="E206">
        <f t="shared" si="13"/>
        <v>7.223644892261e-5</v>
      </c>
      <c r="F206">
        <f t="shared" si="14"/>
        <v>2.94285083687699e-9</v>
      </c>
    </row>
    <row r="207" spans="1:6">
      <c r="A207">
        <v>1.2942</v>
      </c>
      <c r="B207">
        <v>1440.13</v>
      </c>
      <c r="C207">
        <f t="shared" si="12"/>
        <v>0.0084655261991412</v>
      </c>
      <c r="D207">
        <f t="shared" si="15"/>
        <v>1.5244715128415e-5</v>
      </c>
      <c r="E207">
        <f t="shared" si="13"/>
        <v>7.17333355734634e-5</v>
      </c>
      <c r="F207">
        <f t="shared" si="14"/>
        <v>3.19096423978473e-9</v>
      </c>
    </row>
    <row r="208" spans="1:6">
      <c r="A208">
        <v>1.2968</v>
      </c>
      <c r="B208">
        <v>1423.9</v>
      </c>
      <c r="C208">
        <f t="shared" si="12"/>
        <v>-0.0113338014860818</v>
      </c>
      <c r="D208">
        <f t="shared" si="15"/>
        <v>4.34549244783805e-5</v>
      </c>
      <c r="E208">
        <f t="shared" si="13"/>
        <v>7.24408179432315e-5</v>
      </c>
      <c r="F208">
        <f t="shared" si="14"/>
        <v>8.4018201995569e-10</v>
      </c>
    </row>
    <row r="209" spans="1:6">
      <c r="A209">
        <v>1.2957</v>
      </c>
      <c r="B209">
        <v>1422.18</v>
      </c>
      <c r="C209">
        <f t="shared" si="12"/>
        <v>-0.00120868015614235</v>
      </c>
      <c r="D209">
        <f t="shared" si="15"/>
        <v>8.59549903021453e-5</v>
      </c>
      <c r="E209">
        <f t="shared" si="13"/>
        <v>7.10878364388383e-5</v>
      </c>
      <c r="F209">
        <f t="shared" si="14"/>
        <v>2.21032263995243e-10</v>
      </c>
    </row>
    <row r="210" spans="1:6">
      <c r="A210">
        <v>1.3025</v>
      </c>
      <c r="B210">
        <v>1420.62</v>
      </c>
      <c r="C210">
        <f t="shared" si="12"/>
        <v>-0.00109750960784351</v>
      </c>
      <c r="D210">
        <f t="shared" si="15"/>
        <v>4.37079490109988e-5</v>
      </c>
      <c r="E210">
        <f t="shared" si="13"/>
        <v>8.18774406285395e-5</v>
      </c>
      <c r="F210">
        <f t="shared" si="14"/>
        <v>1.45691009034151e-9</v>
      </c>
    </row>
    <row r="211" spans="1:6">
      <c r="A211">
        <v>1.2964</v>
      </c>
      <c r="B211">
        <v>1428.82</v>
      </c>
      <c r="C211">
        <f t="shared" si="12"/>
        <v>0.00575553276166206</v>
      </c>
      <c r="D211">
        <f t="shared" si="15"/>
        <v>2.24562381751538e-5</v>
      </c>
      <c r="E211">
        <f t="shared" si="13"/>
        <v>8.19899150795657e-5</v>
      </c>
      <c r="F211">
        <f t="shared" si="14"/>
        <v>3.54425868575891e-9</v>
      </c>
    </row>
    <row r="212" spans="1:6">
      <c r="A212">
        <v>1.298</v>
      </c>
      <c r="B212">
        <v>1438.24</v>
      </c>
      <c r="C212">
        <f t="shared" si="12"/>
        <v>0.00657121504046396</v>
      </c>
      <c r="D212">
        <f t="shared" si="15"/>
        <v>2.77911977728596e-5</v>
      </c>
      <c r="E212">
        <f t="shared" si="13"/>
        <v>8.27635937051879e-5</v>
      </c>
      <c r="F212">
        <f t="shared" si="14"/>
        <v>3.02196431454067e-9</v>
      </c>
    </row>
    <row r="213" spans="1:6">
      <c r="A213">
        <v>1.2909</v>
      </c>
      <c r="B213">
        <v>1445.94</v>
      </c>
      <c r="C213">
        <f t="shared" si="12"/>
        <v>0.00533948525679666</v>
      </c>
      <c r="D213">
        <f t="shared" si="15"/>
        <v>3.54860324404397e-5</v>
      </c>
      <c r="E213">
        <f t="shared" si="13"/>
        <v>8.06562137090595e-5</v>
      </c>
      <c r="F213">
        <f t="shared" si="14"/>
        <v>2.04034527583997e-9</v>
      </c>
    </row>
    <row r="214" spans="1:6">
      <c r="A214">
        <v>1.2948</v>
      </c>
      <c r="B214">
        <v>1448.39</v>
      </c>
      <c r="C214">
        <f t="shared" si="12"/>
        <v>0.00169296561564767</v>
      </c>
      <c r="D214">
        <f t="shared" si="15"/>
        <v>3.19980676239943e-5</v>
      </c>
      <c r="E214">
        <f t="shared" si="13"/>
        <v>7.95873020849323e-5</v>
      </c>
      <c r="F214">
        <f t="shared" si="14"/>
        <v>2.26473523657813e-9</v>
      </c>
    </row>
    <row r="215" spans="1:6">
      <c r="A215">
        <v>1.2954</v>
      </c>
      <c r="B215">
        <v>1446.99</v>
      </c>
      <c r="C215">
        <f t="shared" si="12"/>
        <v>-0.000967057939964272</v>
      </c>
      <c r="D215">
        <f t="shared" si="15"/>
        <v>1.74321000998798e-5</v>
      </c>
      <c r="E215">
        <f t="shared" si="13"/>
        <v>9.37583465433597e-5</v>
      </c>
      <c r="F215">
        <f t="shared" si="14"/>
        <v>5.82569589615083e-9</v>
      </c>
    </row>
    <row r="216" spans="1:6">
      <c r="A216">
        <v>1.2998</v>
      </c>
      <c r="B216">
        <v>1448</v>
      </c>
      <c r="C216">
        <f t="shared" si="12"/>
        <v>0.000697757188092303</v>
      </c>
      <c r="D216">
        <f t="shared" si="15"/>
        <v>9.18365057956387e-6</v>
      </c>
      <c r="E216">
        <f t="shared" si="13"/>
        <v>9.65815180800851e-5</v>
      </c>
      <c r="F216">
        <f t="shared" si="14"/>
        <v>7.63838724363866e-9</v>
      </c>
    </row>
    <row r="217" spans="1:6">
      <c r="A217">
        <v>1.3021</v>
      </c>
      <c r="B217">
        <v>1450.02</v>
      </c>
      <c r="C217">
        <f t="shared" si="12"/>
        <v>0.00139405547728264</v>
      </c>
      <c r="D217">
        <f t="shared" si="15"/>
        <v>4.83525783654917e-6</v>
      </c>
      <c r="E217">
        <f t="shared" si="13"/>
        <v>9.74762225806877e-5</v>
      </c>
      <c r="F217">
        <f t="shared" si="14"/>
        <v>8.58234834872472e-9</v>
      </c>
    </row>
    <row r="218" spans="1:6">
      <c r="A218">
        <v>1.296</v>
      </c>
      <c r="B218">
        <v>1448.31</v>
      </c>
      <c r="C218">
        <f t="shared" si="12"/>
        <v>-0.00117998999314345</v>
      </c>
      <c r="D218">
        <f t="shared" si="15"/>
        <v>3.38932425514545e-6</v>
      </c>
      <c r="E218">
        <f t="shared" si="13"/>
        <v>9.73134538572087e-5</v>
      </c>
      <c r="F218">
        <f t="shared" si="14"/>
        <v>8.82174212150517e-9</v>
      </c>
    </row>
    <row r="219" spans="1:6">
      <c r="A219">
        <v>1.2933</v>
      </c>
      <c r="B219">
        <v>1438.06</v>
      </c>
      <c r="C219">
        <f t="shared" si="12"/>
        <v>-0.00710237640173229</v>
      </c>
      <c r="D219">
        <f t="shared" si="15"/>
        <v>2.39085031953206e-6</v>
      </c>
      <c r="E219">
        <f t="shared" si="13"/>
        <v>0.000103376061022903</v>
      </c>
      <c r="F219">
        <f t="shared" si="14"/>
        <v>1.01980127808043e-8</v>
      </c>
    </row>
    <row r="220" spans="1:6">
      <c r="A220">
        <v>1.2969</v>
      </c>
      <c r="B220">
        <v>1433.37</v>
      </c>
      <c r="C220">
        <f t="shared" si="12"/>
        <v>-0.00326666794637413</v>
      </c>
      <c r="D220">
        <f t="shared" si="15"/>
        <v>2.64173004357079e-5</v>
      </c>
      <c r="E220">
        <f t="shared" si="13"/>
        <v>0.000104015578721346</v>
      </c>
      <c r="F220">
        <f t="shared" si="14"/>
        <v>6.02149279289539e-9</v>
      </c>
    </row>
    <row r="221" spans="1:6">
      <c r="A221">
        <v>1.302</v>
      </c>
      <c r="B221">
        <v>1444.26</v>
      </c>
      <c r="C221">
        <f t="shared" si="12"/>
        <v>0.00756876456471079</v>
      </c>
      <c r="D221">
        <f t="shared" si="15"/>
        <v>1.8544209953788e-5</v>
      </c>
      <c r="E221">
        <f t="shared" si="13"/>
        <v>0.000115618207431892</v>
      </c>
      <c r="F221">
        <f t="shared" si="14"/>
        <v>9.42336098637885e-9</v>
      </c>
    </row>
    <row r="222" spans="1:6">
      <c r="A222">
        <v>1.3034</v>
      </c>
      <c r="B222">
        <v>1455.3</v>
      </c>
      <c r="C222">
        <f t="shared" si="12"/>
        <v>0.00761498527287521</v>
      </c>
      <c r="D222">
        <f t="shared" si="15"/>
        <v>3.79152034949049e-5</v>
      </c>
      <c r="E222">
        <f t="shared" si="13"/>
        <v>0.000113263547949004</v>
      </c>
      <c r="F222">
        <f t="shared" si="14"/>
        <v>5.67737301197359e-9</v>
      </c>
    </row>
    <row r="223" spans="1:6">
      <c r="A223">
        <v>1.3005</v>
      </c>
      <c r="B223">
        <v>1456.81</v>
      </c>
      <c r="C223">
        <f t="shared" si="12"/>
        <v>0.00103704883079958</v>
      </c>
      <c r="D223">
        <f t="shared" si="15"/>
        <v>4.79516021005056e-5</v>
      </c>
      <c r="E223">
        <f t="shared" si="13"/>
        <v>0.000110790966215154</v>
      </c>
      <c r="F223">
        <f t="shared" si="14"/>
        <v>3.94878568233342e-9</v>
      </c>
    </row>
    <row r="224" spans="1:6">
      <c r="A224">
        <v>1.2962</v>
      </c>
      <c r="B224">
        <v>1455.54</v>
      </c>
      <c r="C224">
        <f t="shared" si="12"/>
        <v>-0.000872147977064037</v>
      </c>
      <c r="D224">
        <f t="shared" si="15"/>
        <v>2.45135361889842e-5</v>
      </c>
      <c r="E224">
        <f t="shared" si="13"/>
        <v>0.000110782532661232</v>
      </c>
      <c r="F224">
        <f t="shared" si="14"/>
        <v>7.44233975232877e-9</v>
      </c>
    </row>
    <row r="225" spans="1:6">
      <c r="A225">
        <v>1.3024</v>
      </c>
      <c r="B225">
        <v>1459.68</v>
      </c>
      <c r="C225">
        <f t="shared" si="12"/>
        <v>0.00284026782414807</v>
      </c>
      <c r="D225">
        <f t="shared" si="15"/>
        <v>1.26370891414405e-5</v>
      </c>
      <c r="E225">
        <f t="shared" si="13"/>
        <v>0.000112028846403343</v>
      </c>
      <c r="F225">
        <f t="shared" si="14"/>
        <v>9.87872141160898e-9</v>
      </c>
    </row>
    <row r="226" spans="1:6">
      <c r="A226">
        <v>1.3126</v>
      </c>
      <c r="B226">
        <v>1457.63</v>
      </c>
      <c r="C226">
        <f t="shared" si="12"/>
        <v>-0.00140540452500656</v>
      </c>
      <c r="D226">
        <f t="shared" si="15"/>
        <v>1.03521052271657e-5</v>
      </c>
      <c r="E226">
        <f t="shared" si="13"/>
        <v>0.000113461202371867</v>
      </c>
      <c r="F226">
        <f t="shared" si="14"/>
        <v>1.06314859139954e-8</v>
      </c>
    </row>
    <row r="227" spans="1:6">
      <c r="A227">
        <v>1.314</v>
      </c>
      <c r="B227">
        <v>1456.38</v>
      </c>
      <c r="C227">
        <f t="shared" si="12"/>
        <v>-0.000857924356244614</v>
      </c>
      <c r="D227">
        <f t="shared" si="15"/>
        <v>6.1636335530373e-6</v>
      </c>
      <c r="E227">
        <f t="shared" si="13"/>
        <v>0.000114365494451352</v>
      </c>
      <c r="F227">
        <f t="shared" si="14"/>
        <v>1.17076427018581e-8</v>
      </c>
    </row>
    <row r="228" spans="1:6">
      <c r="A228">
        <v>1.3137</v>
      </c>
      <c r="B228">
        <v>1451.19</v>
      </c>
      <c r="C228">
        <f t="shared" si="12"/>
        <v>-0.00356999522773543</v>
      </c>
      <c r="D228">
        <f t="shared" si="15"/>
        <v>3.44983387703752e-6</v>
      </c>
      <c r="E228">
        <f t="shared" si="13"/>
        <v>0.000114367336655526</v>
      </c>
      <c r="F228">
        <f t="shared" si="14"/>
        <v>1.2302692422616e-8</v>
      </c>
    </row>
    <row r="229" spans="1:6">
      <c r="A229">
        <v>1.3134</v>
      </c>
      <c r="B229">
        <v>1449.37</v>
      </c>
      <c r="C229">
        <f t="shared" si="12"/>
        <v>-0.00125493024716078</v>
      </c>
      <c r="D229">
        <f t="shared" si="15"/>
        <v>8.09734990154563e-6</v>
      </c>
      <c r="E229">
        <f t="shared" si="13"/>
        <v>0.000114536453878602</v>
      </c>
      <c r="F229">
        <f t="shared" si="14"/>
        <v>1.13292828554386e-8</v>
      </c>
    </row>
    <row r="230" spans="1:6">
      <c r="A230">
        <v>1.3126</v>
      </c>
      <c r="B230">
        <v>1399.04</v>
      </c>
      <c r="C230">
        <f t="shared" si="12"/>
        <v>-0.0353426921329524</v>
      </c>
      <c r="D230">
        <f t="shared" si="15"/>
        <v>4.83609991339232e-6</v>
      </c>
      <c r="E230">
        <f t="shared" si="13"/>
        <v>0.000118315376963583</v>
      </c>
      <c r="F230">
        <f t="shared" si="14"/>
        <v>1.2877546319834e-8</v>
      </c>
    </row>
    <row r="231" spans="1:6">
      <c r="A231">
        <v>1.3134</v>
      </c>
      <c r="B231">
        <v>1406.82</v>
      </c>
      <c r="C231">
        <f t="shared" si="12"/>
        <v>0.00554555105263509</v>
      </c>
      <c r="D231">
        <f t="shared" si="15"/>
        <v>0.000626970993559024</v>
      </c>
      <c r="E231">
        <f t="shared" si="13"/>
        <v>6.72574215527826e-5</v>
      </c>
      <c r="F231">
        <f t="shared" si="14"/>
        <v>3.13279282687986e-7</v>
      </c>
    </row>
    <row r="232" spans="1:6">
      <c r="A232">
        <v>1.3164</v>
      </c>
      <c r="B232">
        <v>1403.17</v>
      </c>
      <c r="C232">
        <f t="shared" si="12"/>
        <v>-0.00259787547486464</v>
      </c>
      <c r="D232">
        <f t="shared" si="15"/>
        <v>0.000328862065018203</v>
      </c>
      <c r="E232">
        <f t="shared" si="13"/>
        <v>6.66072649065755e-5</v>
      </c>
      <c r="F232">
        <f t="shared" si="14"/>
        <v>6.87775801815897e-8</v>
      </c>
    </row>
    <row r="233" spans="1:6">
      <c r="A233">
        <v>1.3159</v>
      </c>
      <c r="B233">
        <v>1387.17</v>
      </c>
      <c r="C233">
        <f t="shared" si="12"/>
        <v>-0.0114682621909869</v>
      </c>
      <c r="D233">
        <f t="shared" si="15"/>
        <v>0.000167805511000553</v>
      </c>
      <c r="E233">
        <f t="shared" si="13"/>
        <v>6.60814213441951e-5</v>
      </c>
      <c r="F233">
        <f t="shared" si="14"/>
        <v>1.03477904164148e-8</v>
      </c>
    </row>
    <row r="234" spans="1:6">
      <c r="A234">
        <v>1.3246</v>
      </c>
      <c r="B234">
        <v>1374.12</v>
      </c>
      <c r="C234">
        <f t="shared" si="12"/>
        <v>-0.00945217428159958</v>
      </c>
      <c r="D234">
        <f t="shared" si="15"/>
        <v>0.000149663274340886</v>
      </c>
      <c r="E234">
        <f t="shared" si="13"/>
        <v>5.95276074683297e-5</v>
      </c>
      <c r="F234">
        <f t="shared" si="14"/>
        <v>8.12443844256052e-9</v>
      </c>
    </row>
    <row r="235" spans="1:6">
      <c r="A235">
        <v>1.323</v>
      </c>
      <c r="B235">
        <v>1395.41</v>
      </c>
      <c r="C235">
        <f t="shared" si="12"/>
        <v>0.015374752670108</v>
      </c>
      <c r="D235">
        <f t="shared" si="15"/>
        <v>0.000119503436495309</v>
      </c>
      <c r="E235">
        <f t="shared" si="13"/>
        <v>5.73010692020963e-5</v>
      </c>
      <c r="F235">
        <f t="shared" si="14"/>
        <v>3.86913449687979e-9</v>
      </c>
    </row>
    <row r="236" spans="1:6">
      <c r="A236">
        <v>1.3173</v>
      </c>
      <c r="B236">
        <v>1391.97</v>
      </c>
      <c r="C236">
        <f t="shared" si="12"/>
        <v>-0.0024682689453709</v>
      </c>
      <c r="D236">
        <f t="shared" si="15"/>
        <v>0.000177943228081151</v>
      </c>
      <c r="E236">
        <f t="shared" si="13"/>
        <v>5.05487486199292e-5</v>
      </c>
      <c r="F236">
        <f t="shared" si="14"/>
        <v>1.62293533971957e-8</v>
      </c>
    </row>
    <row r="237" spans="1:6">
      <c r="A237">
        <v>1.3182</v>
      </c>
      <c r="B237">
        <v>1401.89</v>
      </c>
      <c r="C237">
        <f t="shared" si="12"/>
        <v>0.00710131623466038</v>
      </c>
      <c r="D237">
        <f t="shared" si="15"/>
        <v>9.20177898339168e-5</v>
      </c>
      <c r="E237">
        <f t="shared" si="13"/>
        <v>5.00607595288045e-5</v>
      </c>
      <c r="F237">
        <f t="shared" si="14"/>
        <v>1.76039239202411e-9</v>
      </c>
    </row>
    <row r="238" spans="1:6">
      <c r="A238">
        <v>1.3094</v>
      </c>
      <c r="B238">
        <v>1402.84</v>
      </c>
      <c r="C238">
        <f t="shared" si="12"/>
        <v>0.000677427086621439</v>
      </c>
      <c r="D238">
        <f t="shared" si="15"/>
        <v>7.12232410492839e-5</v>
      </c>
      <c r="E238">
        <f t="shared" si="13"/>
        <v>5.20573346190322e-5</v>
      </c>
      <c r="F238">
        <f t="shared" si="14"/>
        <v>3.67331969293166e-10</v>
      </c>
    </row>
    <row r="239" spans="1:6">
      <c r="A239">
        <v>1.3108</v>
      </c>
      <c r="B239">
        <v>1406.6</v>
      </c>
      <c r="C239">
        <f t="shared" si="12"/>
        <v>0.00267669161465064</v>
      </c>
      <c r="D239">
        <f t="shared" si="15"/>
        <v>3.58410742534862e-5</v>
      </c>
      <c r="E239">
        <f t="shared" si="13"/>
        <v>5.20105642283797e-5</v>
      </c>
      <c r="F239">
        <f t="shared" si="14"/>
        <v>2.61452406048183e-10</v>
      </c>
    </row>
    <row r="240" spans="1:6">
      <c r="A240">
        <v>1.3148</v>
      </c>
      <c r="B240">
        <v>1377.95</v>
      </c>
      <c r="C240">
        <f t="shared" si="12"/>
        <v>-0.020578557428858</v>
      </c>
      <c r="D240">
        <f t="shared" si="15"/>
        <v>2.15028761267136e-5</v>
      </c>
      <c r="E240">
        <f t="shared" si="13"/>
        <v>5.20287101458163e-5</v>
      </c>
      <c r="F240">
        <f t="shared" si="14"/>
        <v>9.31826542561806e-10</v>
      </c>
    </row>
    <row r="241" spans="1:6">
      <c r="A241">
        <v>1.3129</v>
      </c>
      <c r="B241">
        <v>1387.17</v>
      </c>
      <c r="C241">
        <f t="shared" si="12"/>
        <v>0.00666881304978798</v>
      </c>
      <c r="D241">
        <f t="shared" si="15"/>
        <v>0.00022248995098976</v>
      </c>
      <c r="E241">
        <f t="shared" si="13"/>
        <v>3.18402491423961e-5</v>
      </c>
      <c r="F241">
        <f t="shared" si="14"/>
        <v>3.63473088144888e-8</v>
      </c>
    </row>
    <row r="242" spans="1:6">
      <c r="A242">
        <v>1.3118</v>
      </c>
      <c r="B242">
        <v>1392.28</v>
      </c>
      <c r="C242">
        <f t="shared" si="12"/>
        <v>0.00367699059697127</v>
      </c>
      <c r="D242">
        <f t="shared" si="15"/>
        <v>0.000133481509241391</v>
      </c>
      <c r="E242">
        <f t="shared" si="13"/>
        <v>3.29391294898412e-5</v>
      </c>
      <c r="F242">
        <f t="shared" si="14"/>
        <v>1.01087701261049e-8</v>
      </c>
    </row>
    <row r="243" spans="1:6">
      <c r="A243">
        <v>1.3186</v>
      </c>
      <c r="B243">
        <v>1386.95</v>
      </c>
      <c r="C243">
        <f t="shared" si="12"/>
        <v>-0.0038355994534456</v>
      </c>
      <c r="D243">
        <f t="shared" si="15"/>
        <v>7.35008845458032e-5</v>
      </c>
      <c r="E243">
        <f t="shared" si="13"/>
        <v>3.38027249024104e-5</v>
      </c>
      <c r="F243">
        <f t="shared" si="14"/>
        <v>1.5759438790723e-9</v>
      </c>
    </row>
    <row r="244" spans="1:6">
      <c r="A244">
        <v>1.3199</v>
      </c>
      <c r="B244">
        <v>1402.06</v>
      </c>
      <c r="C244">
        <f t="shared" si="12"/>
        <v>0.0108354920461449</v>
      </c>
      <c r="D244">
        <f t="shared" si="15"/>
        <v>4.41063538565377e-5</v>
      </c>
      <c r="E244">
        <f t="shared" si="13"/>
        <v>3.25387098638947e-5</v>
      </c>
      <c r="F244">
        <f t="shared" si="14"/>
        <v>1.3381038754053e-10</v>
      </c>
    </row>
    <row r="245" spans="1:6">
      <c r="A245">
        <v>1.3227</v>
      </c>
      <c r="B245">
        <v>1410.94</v>
      </c>
      <c r="C245">
        <f t="shared" si="12"/>
        <v>0.00631356523085589</v>
      </c>
      <c r="D245">
        <f t="shared" si="15"/>
        <v>8.07571208693036e-5</v>
      </c>
      <c r="E245">
        <f t="shared" si="13"/>
        <v>3.20622471515092e-5</v>
      </c>
      <c r="F245">
        <f t="shared" si="14"/>
        <v>2.37119072639194e-9</v>
      </c>
    </row>
    <row r="246" spans="1:6">
      <c r="A246">
        <v>1.3249</v>
      </c>
      <c r="B246">
        <v>1435.04</v>
      </c>
      <c r="C246">
        <f t="shared" si="12"/>
        <v>0.0169365744543184</v>
      </c>
      <c r="D246">
        <f t="shared" si="15"/>
        <v>6.0309113396788e-5</v>
      </c>
      <c r="E246">
        <f t="shared" si="13"/>
        <v>3.18223952661829e-5</v>
      </c>
      <c r="F246">
        <f t="shared" si="14"/>
        <v>8.11493109852544e-10</v>
      </c>
    </row>
    <row r="247" spans="1:6">
      <c r="A247">
        <v>1.3307</v>
      </c>
      <c r="B247">
        <v>1434.54</v>
      </c>
      <c r="C247">
        <f t="shared" si="12"/>
        <v>-0.000348483056795814</v>
      </c>
      <c r="D247">
        <f t="shared" si="15"/>
        <v>0.000173578333821729</v>
      </c>
      <c r="E247">
        <f t="shared" si="13"/>
        <v>2.29123398707676e-5</v>
      </c>
      <c r="F247">
        <f t="shared" si="14"/>
        <v>2.27002417332312e-8</v>
      </c>
    </row>
    <row r="248" spans="1:6">
      <c r="A248">
        <v>1.3299</v>
      </c>
      <c r="B248">
        <v>1436.11</v>
      </c>
      <c r="C248">
        <f t="shared" si="12"/>
        <v>0.0010938290328232</v>
      </c>
      <c r="D248">
        <f t="shared" si="15"/>
        <v>8.68498871313015e-5</v>
      </c>
      <c r="E248">
        <f t="shared" si="13"/>
        <v>2.62248491714573e-5</v>
      </c>
      <c r="F248">
        <f t="shared" si="14"/>
        <v>3.67539522763256e-9</v>
      </c>
    </row>
    <row r="249" spans="1:6">
      <c r="A249">
        <v>1.3291</v>
      </c>
      <c r="B249">
        <v>1437.5</v>
      </c>
      <c r="C249">
        <f t="shared" si="12"/>
        <v>0.000967424325785087</v>
      </c>
      <c r="D249">
        <f t="shared" si="15"/>
        <v>4.40231745421742e-5</v>
      </c>
      <c r="E249">
        <f t="shared" si="13"/>
        <v>2.62968720712557e-5</v>
      </c>
      <c r="F249">
        <f t="shared" si="14"/>
        <v>3.14221799290494e-10</v>
      </c>
    </row>
    <row r="250" spans="1:6">
      <c r="A250">
        <v>1.3305</v>
      </c>
      <c r="B250">
        <v>1428.61</v>
      </c>
      <c r="C250">
        <f t="shared" si="12"/>
        <v>-0.00620355011512957</v>
      </c>
      <c r="D250">
        <f t="shared" si="15"/>
        <v>2.24795421841475e-5</v>
      </c>
      <c r="E250">
        <f t="shared" si="13"/>
        <v>2.72984226292335e-5</v>
      </c>
      <c r="F250">
        <f t="shared" si="14"/>
        <v>2.3221608744032e-11</v>
      </c>
    </row>
    <row r="251" spans="1:6">
      <c r="A251">
        <v>1.3359</v>
      </c>
      <c r="B251">
        <v>1417.23</v>
      </c>
      <c r="C251">
        <f t="shared" si="12"/>
        <v>-0.00799768128783841</v>
      </c>
      <c r="D251">
        <f t="shared" si="15"/>
        <v>3.04817881075358e-5</v>
      </c>
      <c r="E251">
        <f t="shared" si="13"/>
        <v>2.50444818054852e-5</v>
      </c>
      <c r="F251">
        <f t="shared" si="14"/>
        <v>2.95642998223196e-11</v>
      </c>
    </row>
    <row r="252" spans="1:6">
      <c r="A252">
        <v>1.3302</v>
      </c>
      <c r="B252">
        <v>1422.53</v>
      </c>
      <c r="C252">
        <f t="shared" si="12"/>
        <v>0.00373271414049681</v>
      </c>
      <c r="D252">
        <f t="shared" si="15"/>
        <v>4.72223470446882e-5</v>
      </c>
      <c r="E252">
        <f t="shared" si="13"/>
        <v>2.09402027266024e-5</v>
      </c>
      <c r="F252">
        <f t="shared" si="14"/>
        <v>6.90751109956689e-10</v>
      </c>
    </row>
    <row r="253" spans="1:6">
      <c r="A253">
        <v>1.3336</v>
      </c>
      <c r="B253">
        <v>1420.86</v>
      </c>
      <c r="C253">
        <f t="shared" si="12"/>
        <v>-0.00117465433304893</v>
      </c>
      <c r="D253">
        <f t="shared" si="15"/>
        <v>3.05777509496765e-5</v>
      </c>
      <c r="E253">
        <f t="shared" si="13"/>
        <v>2.08612218007173e-5</v>
      </c>
      <c r="F253">
        <f t="shared" si="14"/>
        <v>9.44109387025752e-11</v>
      </c>
    </row>
    <row r="254" spans="1:6">
      <c r="A254">
        <v>1.3357</v>
      </c>
      <c r="B254">
        <v>1424.55</v>
      </c>
      <c r="C254">
        <f t="shared" si="12"/>
        <v>0.00259365228108588</v>
      </c>
      <c r="D254">
        <f t="shared" si="15"/>
        <v>1.59787818759136e-5</v>
      </c>
      <c r="E254">
        <f t="shared" si="13"/>
        <v>2.0859009439077e-5</v>
      </c>
      <c r="F254">
        <f t="shared" si="14"/>
        <v>2.38166210682598e-11</v>
      </c>
    </row>
    <row r="255" spans="1:6">
      <c r="A255">
        <v>1.3331</v>
      </c>
      <c r="B255">
        <v>1437.77</v>
      </c>
      <c r="C255">
        <f t="shared" si="12"/>
        <v>0.00923732776427984</v>
      </c>
      <c r="D255">
        <f t="shared" si="15"/>
        <v>1.13529070155478e-5</v>
      </c>
      <c r="E255">
        <f t="shared" si="13"/>
        <v>2.08895768109575e-5</v>
      </c>
      <c r="F255">
        <f t="shared" si="14"/>
        <v>9.09480707866806e-11</v>
      </c>
    </row>
    <row r="256" spans="1:6">
      <c r="A256">
        <v>1.3336</v>
      </c>
      <c r="B256">
        <v>1439.37</v>
      </c>
      <c r="C256">
        <f t="shared" si="12"/>
        <v>0.00111221571764757</v>
      </c>
      <c r="D256">
        <f t="shared" si="15"/>
        <v>4.83405656201415e-5</v>
      </c>
      <c r="E256">
        <f t="shared" si="13"/>
        <v>2.8840312374627e-5</v>
      </c>
      <c r="F256">
        <f t="shared" si="14"/>
        <v>3.80259876639197e-10</v>
      </c>
    </row>
    <row r="257" spans="1:6">
      <c r="A257">
        <v>1.3374</v>
      </c>
      <c r="B257">
        <v>1443.76</v>
      </c>
      <c r="C257">
        <f t="shared" si="12"/>
        <v>0.00304530381404407</v>
      </c>
      <c r="D257">
        <f t="shared" si="15"/>
        <v>2.47887947113619e-5</v>
      </c>
      <c r="E257">
        <f t="shared" si="13"/>
        <v>3.14057939566271e-5</v>
      </c>
      <c r="F257">
        <f t="shared" si="14"/>
        <v>4.37846790118398e-11</v>
      </c>
    </row>
    <row r="258" spans="1:6">
      <c r="A258">
        <v>1.3374</v>
      </c>
      <c r="B258">
        <v>1444.61</v>
      </c>
      <c r="C258">
        <f t="shared" si="12"/>
        <v>0.000588567271185769</v>
      </c>
      <c r="D258">
        <f t="shared" si="15"/>
        <v>1.70313350155966e-5</v>
      </c>
      <c r="E258">
        <f t="shared" si="13"/>
        <v>3.1800033197022e-5</v>
      </c>
      <c r="F258">
        <f t="shared" si="14"/>
        <v>2.18114445974037e-10</v>
      </c>
    </row>
    <row r="259" spans="1:6">
      <c r="A259">
        <v>1.3363</v>
      </c>
      <c r="B259">
        <v>1448.39</v>
      </c>
      <c r="C259">
        <f t="shared" si="12"/>
        <v>0.00261320577330519</v>
      </c>
      <c r="D259">
        <f t="shared" si="15"/>
        <v>8.68887322415384e-6</v>
      </c>
      <c r="E259">
        <f t="shared" si="13"/>
        <v>3.2083605052309e-5</v>
      </c>
      <c r="F259">
        <f t="shared" si="14"/>
        <v>5.47313477311298e-10</v>
      </c>
    </row>
    <row r="260" spans="1:6">
      <c r="A260">
        <v>1.3364</v>
      </c>
      <c r="B260">
        <v>1438.87</v>
      </c>
      <c r="C260">
        <f t="shared" ref="C260:C323" si="16">LN(B260/B259)</f>
        <v>-0.00659451140536186</v>
      </c>
      <c r="D260">
        <f t="shared" si="15"/>
        <v>7.75885881889471e-6</v>
      </c>
      <c r="E260">
        <f t="shared" ref="E260:E323" si="17">_xlfn.VAR.S(C260:C285)</f>
        <v>3.40002138880502e-5</v>
      </c>
      <c r="F260">
        <f t="shared" ref="F260:F323" si="18">(D260-E260)^2</f>
        <v>6.8860871586549e-10</v>
      </c>
    </row>
    <row r="261" spans="1:6">
      <c r="A261">
        <v>1.3426</v>
      </c>
      <c r="B261">
        <v>1447.8</v>
      </c>
      <c r="C261">
        <f t="shared" si="16"/>
        <v>0.0061870795668693</v>
      </c>
      <c r="D261">
        <f t="shared" ref="D261:D324" si="19">$H$1*D260+(1-$H$1)*C260^2</f>
        <v>2.56232197471712e-5</v>
      </c>
      <c r="E261">
        <f t="shared" si="17"/>
        <v>3.14695330514118e-5</v>
      </c>
      <c r="F261">
        <f t="shared" si="18"/>
        <v>3.41793792513408e-11</v>
      </c>
    </row>
    <row r="262" spans="1:6">
      <c r="A262">
        <v>1.338</v>
      </c>
      <c r="B262">
        <v>1452.85</v>
      </c>
      <c r="C262">
        <f t="shared" si="16"/>
        <v>0.00348198169531988</v>
      </c>
      <c r="D262">
        <f t="shared" si="19"/>
        <v>3.19515866569714e-5</v>
      </c>
      <c r="E262">
        <f t="shared" si="17"/>
        <v>3.16126588417072e-5</v>
      </c>
      <c r="F262">
        <f t="shared" si="18"/>
        <v>1.14872063959742e-13</v>
      </c>
    </row>
    <row r="263" spans="1:6">
      <c r="A263">
        <v>1.3367</v>
      </c>
      <c r="B263">
        <v>1468.33</v>
      </c>
      <c r="C263">
        <f t="shared" si="16"/>
        <v>0.0105985559976727</v>
      </c>
      <c r="D263">
        <f t="shared" si="19"/>
        <v>2.20378915917571e-5</v>
      </c>
      <c r="E263">
        <f t="shared" si="17"/>
        <v>3.1518290290477e-5</v>
      </c>
      <c r="F263">
        <f t="shared" si="18"/>
        <v>8.98779594866909e-11</v>
      </c>
    </row>
    <row r="264" spans="1:6">
      <c r="A264">
        <v>1.3436</v>
      </c>
      <c r="B264">
        <v>1471.48</v>
      </c>
      <c r="C264">
        <f t="shared" si="16"/>
        <v>0.00214299645590289</v>
      </c>
      <c r="D264">
        <f t="shared" si="19"/>
        <v>6.71836404137805e-5</v>
      </c>
      <c r="E264">
        <f t="shared" si="17"/>
        <v>2.85259198544829e-5</v>
      </c>
      <c r="F264">
        <f t="shared" si="18"/>
        <v>1.49441935884074e-9</v>
      </c>
    </row>
    <row r="265" spans="1:6">
      <c r="A265">
        <v>1.3436</v>
      </c>
      <c r="B265">
        <v>1472.5</v>
      </c>
      <c r="C265">
        <f t="shared" si="16"/>
        <v>0.000692939517805177</v>
      </c>
      <c r="D265">
        <f t="shared" si="19"/>
        <v>3.58880371118964e-5</v>
      </c>
      <c r="E265">
        <f t="shared" si="17"/>
        <v>2.87678176346481e-5</v>
      </c>
      <c r="F265">
        <f t="shared" si="18"/>
        <v>5.06975254041872e-11</v>
      </c>
    </row>
    <row r="266" spans="1:6">
      <c r="A266">
        <v>1.3484</v>
      </c>
      <c r="B266">
        <v>1470.73</v>
      </c>
      <c r="C266">
        <f t="shared" si="16"/>
        <v>-0.00120276037780142</v>
      </c>
      <c r="D266">
        <f t="shared" si="19"/>
        <v>1.81841011436163e-5</v>
      </c>
      <c r="E266">
        <f t="shared" si="17"/>
        <v>3.34738533848577e-5</v>
      </c>
      <c r="F266">
        <f t="shared" si="18"/>
        <v>2.33776523598547e-10</v>
      </c>
    </row>
    <row r="267" spans="1:6">
      <c r="A267">
        <v>1.3518</v>
      </c>
      <c r="B267">
        <v>1484.35</v>
      </c>
      <c r="C267">
        <f t="shared" si="16"/>
        <v>0.00921808982797258</v>
      </c>
      <c r="D267">
        <f t="shared" si="19"/>
        <v>9.81536683501263e-6</v>
      </c>
      <c r="E267">
        <f t="shared" si="17"/>
        <v>3.40508478456703e-5</v>
      </c>
      <c r="F267">
        <f t="shared" si="18"/>
        <v>5.87358539817949e-10</v>
      </c>
    </row>
    <row r="268" spans="1:6">
      <c r="A268">
        <v>1.355</v>
      </c>
      <c r="B268">
        <v>1480.93</v>
      </c>
      <c r="C268">
        <f t="shared" si="16"/>
        <v>-0.00230669718639891</v>
      </c>
      <c r="D268">
        <f t="shared" si="19"/>
        <v>4.73942734557921e-5</v>
      </c>
      <c r="E268">
        <f t="shared" si="17"/>
        <v>3.13697008380924e-5</v>
      </c>
      <c r="F268">
        <f t="shared" si="18"/>
        <v>2.56786927579932e-10</v>
      </c>
    </row>
    <row r="269" spans="1:6">
      <c r="A269">
        <v>1.3569</v>
      </c>
      <c r="B269">
        <v>1480.41</v>
      </c>
      <c r="C269">
        <f t="shared" si="16"/>
        <v>-0.000351192369227821</v>
      </c>
      <c r="D269">
        <f t="shared" si="19"/>
        <v>2.63575626827664e-5</v>
      </c>
      <c r="E269">
        <f t="shared" si="17"/>
        <v>3.28144063540094e-5</v>
      </c>
      <c r="F269">
        <f t="shared" si="18"/>
        <v>4.16908301948713e-11</v>
      </c>
    </row>
    <row r="270" spans="1:6">
      <c r="A270">
        <v>1.3574</v>
      </c>
      <c r="B270">
        <v>1495.42</v>
      </c>
      <c r="C270">
        <f t="shared" si="16"/>
        <v>0.0100880274040938</v>
      </c>
      <c r="D270">
        <f t="shared" si="19"/>
        <v>1.32404493814851e-5</v>
      </c>
      <c r="E270">
        <f t="shared" si="17"/>
        <v>3.27504410548063e-5</v>
      </c>
      <c r="F270">
        <f t="shared" si="18"/>
        <v>3.80639775093061e-10</v>
      </c>
    </row>
    <row r="271" spans="1:6">
      <c r="A271">
        <v>1.3605</v>
      </c>
      <c r="B271">
        <v>1494.25</v>
      </c>
      <c r="C271">
        <f t="shared" si="16"/>
        <v>-0.000782695120016383</v>
      </c>
      <c r="D271">
        <f t="shared" si="19"/>
        <v>5.75043731436163e-5</v>
      </c>
      <c r="E271">
        <f t="shared" si="17"/>
        <v>2.98265572249389e-5</v>
      </c>
      <c r="F271">
        <f t="shared" si="18"/>
        <v>7.66061494028192e-10</v>
      </c>
    </row>
    <row r="272" spans="1:6">
      <c r="A272">
        <v>1.3601</v>
      </c>
      <c r="B272">
        <v>1494.07</v>
      </c>
      <c r="C272">
        <f t="shared" si="16"/>
        <v>-0.000120469026220576</v>
      </c>
      <c r="D272">
        <f t="shared" si="19"/>
        <v>2.90584923972569e-5</v>
      </c>
      <c r="E272">
        <f t="shared" si="17"/>
        <v>2.97094278121295e-5</v>
      </c>
      <c r="F272">
        <f t="shared" si="18"/>
        <v>4.23716914335435e-13</v>
      </c>
    </row>
    <row r="273" spans="1:6">
      <c r="A273">
        <v>1.358</v>
      </c>
      <c r="B273">
        <v>1482.37</v>
      </c>
      <c r="C273">
        <f t="shared" si="16"/>
        <v>-0.00786178136455229</v>
      </c>
      <c r="D273">
        <f t="shared" si="19"/>
        <v>1.45365025917677e-5</v>
      </c>
      <c r="E273">
        <f t="shared" si="17"/>
        <v>3.12940861324934e-5</v>
      </c>
      <c r="F273">
        <f t="shared" si="18"/>
        <v>2.80816606124402e-10</v>
      </c>
    </row>
    <row r="274" spans="1:6">
      <c r="A274">
        <v>1.3622</v>
      </c>
      <c r="B274">
        <v>1486.3</v>
      </c>
      <c r="C274">
        <f t="shared" si="16"/>
        <v>0.0026476518412586</v>
      </c>
      <c r="D274">
        <f t="shared" si="19"/>
        <v>3.81720544078947e-5</v>
      </c>
      <c r="E274">
        <f t="shared" si="17"/>
        <v>3.20690030291226e-5</v>
      </c>
      <c r="F274">
        <f t="shared" si="18"/>
        <v>3.72472361319322e-11</v>
      </c>
    </row>
    <row r="275" spans="1:6">
      <c r="A275">
        <v>1.3647</v>
      </c>
      <c r="B275">
        <v>1495.92</v>
      </c>
      <c r="C275">
        <f t="shared" si="16"/>
        <v>0.0064515920138556</v>
      </c>
      <c r="D275">
        <f t="shared" si="19"/>
        <v>2.25910573402074e-5</v>
      </c>
      <c r="E275">
        <f t="shared" si="17"/>
        <v>4.51816927906464e-5</v>
      </c>
      <c r="F275">
        <f t="shared" si="18"/>
        <v>5.10336810054634e-10</v>
      </c>
    </row>
    <row r="276" spans="1:6">
      <c r="A276">
        <v>1.359</v>
      </c>
      <c r="B276">
        <v>1502.39</v>
      </c>
      <c r="C276">
        <f t="shared" si="16"/>
        <v>0.00431577124610282</v>
      </c>
      <c r="D276">
        <f t="shared" si="19"/>
        <v>3.21070484267264e-5</v>
      </c>
      <c r="E276">
        <f t="shared" si="17"/>
        <v>4.85493548436963e-5</v>
      </c>
      <c r="F276">
        <f t="shared" si="18"/>
        <v>2.70349440309532e-10</v>
      </c>
    </row>
    <row r="277" spans="1:6">
      <c r="A277">
        <v>1.3625</v>
      </c>
      <c r="B277">
        <v>1505.62</v>
      </c>
      <c r="C277">
        <f t="shared" si="16"/>
        <v>0.00214760006878067</v>
      </c>
      <c r="D277">
        <f t="shared" si="19"/>
        <v>2.53664649377071e-5</v>
      </c>
      <c r="E277">
        <f t="shared" si="17"/>
        <v>4.79047262860487e-5</v>
      </c>
      <c r="F277">
        <f t="shared" si="18"/>
        <v>5.07973224606146e-10</v>
      </c>
    </row>
    <row r="278" spans="1:6">
      <c r="A278">
        <v>1.366</v>
      </c>
      <c r="B278">
        <v>1509.48</v>
      </c>
      <c r="C278">
        <f t="shared" si="16"/>
        <v>0.00256044715519296</v>
      </c>
      <c r="D278">
        <f t="shared" si="19"/>
        <v>1.49893254965669e-5</v>
      </c>
      <c r="E278">
        <f t="shared" si="17"/>
        <v>5.22551721752383e-5</v>
      </c>
      <c r="F278">
        <f t="shared" si="18"/>
        <v>1.38874332867824e-9</v>
      </c>
    </row>
    <row r="279" spans="1:6">
      <c r="A279">
        <v>1.36</v>
      </c>
      <c r="B279">
        <v>1507.72</v>
      </c>
      <c r="C279">
        <f t="shared" si="16"/>
        <v>-0.00116664470344825</v>
      </c>
      <c r="D279">
        <f t="shared" si="19"/>
        <v>1.07726075655513e-5</v>
      </c>
      <c r="E279">
        <f t="shared" si="17"/>
        <v>6.11604481769419e-5</v>
      </c>
      <c r="F279">
        <f t="shared" si="18"/>
        <v>2.5389344814789e-9</v>
      </c>
    </row>
    <row r="280" spans="1:6">
      <c r="A280">
        <v>1.3598</v>
      </c>
      <c r="B280">
        <v>1512.58</v>
      </c>
      <c r="C280">
        <f t="shared" si="16"/>
        <v>0.00321822613288473</v>
      </c>
      <c r="D280">
        <f t="shared" si="19"/>
        <v>6.06683371481759e-6</v>
      </c>
      <c r="E280">
        <f t="shared" si="17"/>
        <v>6.18993960068695e-5</v>
      </c>
      <c r="F280">
        <f t="shared" si="18"/>
        <v>3.11727501209586e-9</v>
      </c>
    </row>
    <row r="281" spans="1:6">
      <c r="A281">
        <v>1.3566</v>
      </c>
      <c r="B281">
        <v>1491.47</v>
      </c>
      <c r="C281">
        <f t="shared" si="16"/>
        <v>-0.0140545912949188</v>
      </c>
      <c r="D281">
        <f t="shared" si="19"/>
        <v>8.2119065785999e-6</v>
      </c>
      <c r="E281">
        <f t="shared" si="17"/>
        <v>6.30595676692693e-5</v>
      </c>
      <c r="F281">
        <f t="shared" si="18"/>
        <v>3.00826592711693e-9</v>
      </c>
    </row>
    <row r="282" spans="1:6">
      <c r="A282">
        <v>1.3587</v>
      </c>
      <c r="B282">
        <v>1505.85</v>
      </c>
      <c r="C282">
        <f t="shared" si="16"/>
        <v>0.00959531203234632</v>
      </c>
      <c r="D282">
        <f t="shared" si="19"/>
        <v>0.000102871721522904</v>
      </c>
      <c r="E282">
        <f t="shared" si="17"/>
        <v>5.4436120826227e-5</v>
      </c>
      <c r="F282">
        <f t="shared" si="18"/>
        <v>2.3460074148479e-9</v>
      </c>
    </row>
    <row r="283" spans="1:6">
      <c r="A283">
        <v>1.3616</v>
      </c>
      <c r="B283">
        <v>1503.15</v>
      </c>
      <c r="C283">
        <f t="shared" si="16"/>
        <v>-0.00179461663319755</v>
      </c>
      <c r="D283">
        <f t="shared" si="19"/>
        <v>9.74708672604968e-5</v>
      </c>
      <c r="E283">
        <f t="shared" si="17"/>
        <v>5.14116693085571e-5</v>
      </c>
      <c r="F283">
        <f t="shared" si="18"/>
        <v>2.12144971597597e-9</v>
      </c>
    </row>
    <row r="284" spans="1:6">
      <c r="A284">
        <v>1.3532</v>
      </c>
      <c r="B284">
        <v>1501.19</v>
      </c>
      <c r="C284">
        <f t="shared" si="16"/>
        <v>-0.00130477927136522</v>
      </c>
      <c r="D284">
        <f t="shared" si="19"/>
        <v>5.03457580603231e-5</v>
      </c>
      <c r="E284">
        <f t="shared" si="17"/>
        <v>5.92374818188423e-5</v>
      </c>
      <c r="F284">
        <f t="shared" si="18"/>
        <v>7.90627513978151e-11</v>
      </c>
    </row>
    <row r="285" spans="1:6">
      <c r="A285">
        <v>1.3549</v>
      </c>
      <c r="B285">
        <v>1514.14</v>
      </c>
      <c r="C285">
        <f t="shared" si="16"/>
        <v>0.00858949409860999</v>
      </c>
      <c r="D285">
        <f t="shared" si="19"/>
        <v>2.60241035036537e-5</v>
      </c>
      <c r="E285">
        <f t="shared" si="17"/>
        <v>6.04545234957703e-5</v>
      </c>
      <c r="F285">
        <f t="shared" si="18"/>
        <v>1.18545382083354e-9</v>
      </c>
    </row>
    <row r="286" spans="1:6">
      <c r="A286">
        <v>1.3512</v>
      </c>
      <c r="B286">
        <v>1512.75</v>
      </c>
      <c r="C286">
        <f t="shared" si="16"/>
        <v>-0.000918434497261533</v>
      </c>
      <c r="D286">
        <f t="shared" si="19"/>
        <v>4.99017561868548e-5</v>
      </c>
      <c r="E286">
        <f t="shared" si="17"/>
        <v>6.44485455490944e-5</v>
      </c>
      <c r="F286">
        <f t="shared" si="18"/>
        <v>2.11609080749368e-10</v>
      </c>
    </row>
    <row r="287" spans="1:6">
      <c r="A287">
        <v>1.3519</v>
      </c>
      <c r="B287">
        <v>1522.75</v>
      </c>
      <c r="C287">
        <f t="shared" si="16"/>
        <v>0.00658872421416311</v>
      </c>
      <c r="D287">
        <f t="shared" si="19"/>
        <v>2.53726390563074e-5</v>
      </c>
      <c r="E287">
        <f t="shared" si="17"/>
        <v>6.47654394418592e-5</v>
      </c>
      <c r="F287">
        <f t="shared" si="18"/>
        <v>1.55179272221593e-9</v>
      </c>
    </row>
    <row r="288" spans="1:6">
      <c r="A288">
        <v>1.3544</v>
      </c>
      <c r="B288">
        <v>1525.1</v>
      </c>
      <c r="C288">
        <f t="shared" si="16"/>
        <v>0.00154207094554392</v>
      </c>
      <c r="D288">
        <f t="shared" si="19"/>
        <v>3.43919629133033e-5</v>
      </c>
      <c r="E288">
        <f t="shared" si="17"/>
        <v>6.29993866019635e-5</v>
      </c>
      <c r="F288">
        <f t="shared" si="18"/>
        <v>8.18384690102512e-10</v>
      </c>
    </row>
    <row r="289" spans="1:6">
      <c r="A289">
        <v>1.3603</v>
      </c>
      <c r="B289">
        <v>1524.12</v>
      </c>
      <c r="C289">
        <f t="shared" si="16"/>
        <v>-0.0006427873579097</v>
      </c>
      <c r="D289">
        <f t="shared" si="19"/>
        <v>1.8384972857197e-5</v>
      </c>
      <c r="E289">
        <f t="shared" si="17"/>
        <v>6.64897115129602e-5</v>
      </c>
      <c r="F289">
        <f t="shared" si="18"/>
        <v>2.31406588113927e-9</v>
      </c>
    </row>
    <row r="290" spans="1:6">
      <c r="A290">
        <v>1.3522</v>
      </c>
      <c r="B290">
        <v>1522.28</v>
      </c>
      <c r="C290">
        <f t="shared" si="16"/>
        <v>-0.00120798334017039</v>
      </c>
      <c r="D290">
        <f t="shared" si="19"/>
        <v>9.39907422234278e-6</v>
      </c>
      <c r="E290">
        <f t="shared" si="17"/>
        <v>6.6488655125531e-5</v>
      </c>
      <c r="F290">
        <f t="shared" si="18"/>
        <v>3.25922024770167e-9</v>
      </c>
    </row>
    <row r="291" spans="1:6">
      <c r="A291">
        <v>1.3494</v>
      </c>
      <c r="B291">
        <v>1507.51</v>
      </c>
      <c r="C291">
        <f t="shared" si="16"/>
        <v>-0.00974992788554816</v>
      </c>
      <c r="D291">
        <f t="shared" si="19"/>
        <v>5.429148986236e-6</v>
      </c>
      <c r="E291">
        <f t="shared" si="17"/>
        <v>6.65150215889962e-5</v>
      </c>
      <c r="F291">
        <f t="shared" si="18"/>
        <v>3.73148383164065e-9</v>
      </c>
    </row>
    <row r="292" spans="1:6">
      <c r="A292">
        <v>1.3511</v>
      </c>
      <c r="B292">
        <v>1515.73</v>
      </c>
      <c r="C292">
        <f t="shared" si="16"/>
        <v>0.00543788799821966</v>
      </c>
      <c r="D292">
        <f t="shared" si="19"/>
        <v>5.02451213798128e-5</v>
      </c>
      <c r="E292">
        <f t="shared" si="17"/>
        <v>6.73858397501647e-5</v>
      </c>
      <c r="F292">
        <f t="shared" si="18"/>
        <v>2.93804226251721e-10</v>
      </c>
    </row>
    <row r="293" spans="1:6">
      <c r="A293">
        <v>1.3457</v>
      </c>
      <c r="B293">
        <v>1518.11</v>
      </c>
      <c r="C293">
        <f t="shared" si="16"/>
        <v>0.00156896902158975</v>
      </c>
      <c r="D293">
        <f t="shared" si="19"/>
        <v>3.99078736304971e-5</v>
      </c>
      <c r="E293">
        <f t="shared" si="17"/>
        <v>6.6753750274852e-5</v>
      </c>
      <c r="F293">
        <f t="shared" si="18"/>
        <v>7.20701092803918e-10</v>
      </c>
    </row>
    <row r="294" spans="1:6">
      <c r="A294">
        <v>1.3464</v>
      </c>
      <c r="B294">
        <v>1530.23</v>
      </c>
      <c r="C294">
        <f t="shared" si="16"/>
        <v>0.00795191078760687</v>
      </c>
      <c r="D294">
        <f t="shared" si="19"/>
        <v>2.11847687106027e-5</v>
      </c>
      <c r="E294">
        <f t="shared" si="17"/>
        <v>6.66804140007848e-5</v>
      </c>
      <c r="F294">
        <f t="shared" si="18"/>
        <v>2.06985374037007e-9</v>
      </c>
    </row>
    <row r="295" spans="1:6">
      <c r="A295">
        <v>1.3482</v>
      </c>
      <c r="B295">
        <v>1530.62</v>
      </c>
      <c r="C295">
        <f t="shared" si="16"/>
        <v>0.000254831175725931</v>
      </c>
      <c r="D295">
        <f t="shared" si="19"/>
        <v>4.22088269423306e-5</v>
      </c>
      <c r="E295">
        <f t="shared" si="17"/>
        <v>6.46216078610962e-5</v>
      </c>
      <c r="F295">
        <f t="shared" si="18"/>
        <v>5.02332748512585e-10</v>
      </c>
    </row>
    <row r="296" spans="1:6">
      <c r="A296">
        <v>1.3429</v>
      </c>
      <c r="B296">
        <v>1536.34</v>
      </c>
      <c r="C296">
        <f t="shared" si="16"/>
        <v>0.0037300823174133</v>
      </c>
      <c r="D296">
        <f t="shared" si="19"/>
        <v>2.11368829352262e-5</v>
      </c>
      <c r="E296">
        <f t="shared" si="17"/>
        <v>6.46519673501123e-5</v>
      </c>
      <c r="F296">
        <f t="shared" si="18"/>
        <v>1.89356257163466e-9</v>
      </c>
    </row>
    <row r="297" spans="1:6">
      <c r="A297">
        <v>1.3452</v>
      </c>
      <c r="B297">
        <v>1539.18</v>
      </c>
      <c r="C297">
        <f t="shared" si="16"/>
        <v>0.0018468426849635</v>
      </c>
      <c r="D297">
        <f t="shared" si="19"/>
        <v>1.75251985149528e-5</v>
      </c>
      <c r="E297">
        <f t="shared" si="17"/>
        <v>7.18053254586392e-5</v>
      </c>
      <c r="F297">
        <f t="shared" si="18"/>
        <v>2.94633218102271e-9</v>
      </c>
    </row>
    <row r="298" spans="1:6">
      <c r="A298">
        <v>1.3483</v>
      </c>
      <c r="B298">
        <v>1530.95</v>
      </c>
      <c r="C298">
        <f t="shared" si="16"/>
        <v>-0.00536134933284886</v>
      </c>
      <c r="D298">
        <f t="shared" si="19"/>
        <v>1.0468013208978e-5</v>
      </c>
      <c r="E298">
        <f t="shared" si="17"/>
        <v>7.31522697462037e-5</v>
      </c>
      <c r="F298">
        <f t="shared" si="18"/>
        <v>3.92931601762473e-9</v>
      </c>
    </row>
    <row r="299" spans="1:6">
      <c r="A299">
        <v>1.3419</v>
      </c>
      <c r="B299">
        <v>1517.38</v>
      </c>
      <c r="C299">
        <f t="shared" si="16"/>
        <v>-0.00890329435429468</v>
      </c>
      <c r="D299">
        <f t="shared" si="19"/>
        <v>1.96060399389085e-5</v>
      </c>
      <c r="E299">
        <f t="shared" si="17"/>
        <v>8.63465114240708e-5</v>
      </c>
      <c r="F299">
        <f t="shared" si="18"/>
        <v>4.45429053406177e-9</v>
      </c>
    </row>
    <row r="300" spans="1:6">
      <c r="A300">
        <v>1.3453</v>
      </c>
      <c r="B300">
        <v>1490.72</v>
      </c>
      <c r="C300">
        <f t="shared" si="16"/>
        <v>-0.0177259386747702</v>
      </c>
      <c r="D300">
        <f t="shared" si="19"/>
        <v>4.9437345149062e-5</v>
      </c>
      <c r="E300">
        <f t="shared" si="17"/>
        <v>8.29360090819072e-5</v>
      </c>
      <c r="F300">
        <f t="shared" si="18"/>
        <v>1.1221604852857e-9</v>
      </c>
    </row>
    <row r="301" spans="1:6">
      <c r="A301">
        <v>1.344</v>
      </c>
      <c r="B301">
        <v>1507.67</v>
      </c>
      <c r="C301">
        <f t="shared" si="16"/>
        <v>0.0113061880271291</v>
      </c>
      <c r="D301">
        <f t="shared" si="19"/>
        <v>0.000181823123525388</v>
      </c>
      <c r="E301">
        <f t="shared" si="17"/>
        <v>6.90183164000702e-5</v>
      </c>
      <c r="F301">
        <f t="shared" si="18"/>
        <v>1.27249245105801e-8</v>
      </c>
    </row>
    <row r="302" spans="1:6">
      <c r="A302">
        <v>1.3488</v>
      </c>
      <c r="B302">
        <v>1509.12</v>
      </c>
      <c r="C302">
        <f t="shared" si="16"/>
        <v>0.00096128673965282</v>
      </c>
      <c r="D302">
        <f t="shared" si="19"/>
        <v>0.000154826505615093</v>
      </c>
      <c r="E302">
        <f t="shared" si="17"/>
        <v>6.50627940775429e-5</v>
      </c>
      <c r="F302">
        <f t="shared" si="18"/>
        <v>8.05752390899644e-9</v>
      </c>
    </row>
    <row r="303" spans="1:6">
      <c r="A303">
        <v>1.3526</v>
      </c>
      <c r="B303">
        <v>1493</v>
      </c>
      <c r="C303">
        <f t="shared" si="16"/>
        <v>-0.0107391809297063</v>
      </c>
      <c r="D303">
        <f t="shared" si="19"/>
        <v>7.78752889054625e-5</v>
      </c>
      <c r="E303">
        <f t="shared" si="17"/>
        <v>6.54369577269015e-5</v>
      </c>
      <c r="F303">
        <f t="shared" si="18"/>
        <v>1.54712082507563e-10</v>
      </c>
    </row>
    <row r="304" spans="1:6">
      <c r="A304">
        <v>1.3492</v>
      </c>
      <c r="B304">
        <v>1515.67</v>
      </c>
      <c r="C304">
        <f t="shared" si="16"/>
        <v>0.0150700668675464</v>
      </c>
      <c r="D304">
        <f t="shared" si="19"/>
        <v>9.6602647973215e-5</v>
      </c>
      <c r="E304">
        <f t="shared" si="17"/>
        <v>6.01295242795927e-5</v>
      </c>
      <c r="F304">
        <f t="shared" si="18"/>
        <v>1.33028875197028e-9</v>
      </c>
    </row>
    <row r="305" spans="1:6">
      <c r="A305">
        <v>1.3456</v>
      </c>
      <c r="B305">
        <v>1522.97</v>
      </c>
      <c r="C305">
        <f t="shared" si="16"/>
        <v>0.00480479032987398</v>
      </c>
      <c r="D305">
        <f t="shared" si="19"/>
        <v>0.000161854781682767</v>
      </c>
      <c r="E305">
        <f t="shared" si="17"/>
        <v>5.92629587779811e-5</v>
      </c>
      <c r="F305">
        <f t="shared" si="18"/>
        <v>1.0525082126927e-8</v>
      </c>
    </row>
    <row r="306" spans="1:6">
      <c r="A306">
        <v>1.3359</v>
      </c>
      <c r="B306">
        <v>1532.91</v>
      </c>
      <c r="C306">
        <f t="shared" si="16"/>
        <v>0.00650551399692412</v>
      </c>
      <c r="D306">
        <f t="shared" si="19"/>
        <v>9.24703958984089e-5</v>
      </c>
      <c r="E306">
        <f t="shared" si="17"/>
        <v>5.92813618491226e-5</v>
      </c>
      <c r="F306">
        <f t="shared" si="18"/>
        <v>1.10151198112468e-9</v>
      </c>
    </row>
    <row r="307" spans="1:6">
      <c r="A307">
        <v>1.3359</v>
      </c>
      <c r="B307">
        <v>1531.05</v>
      </c>
      <c r="C307">
        <f t="shared" si="16"/>
        <v>-0.00121411521591791</v>
      </c>
      <c r="D307">
        <f t="shared" si="19"/>
        <v>6.73960541312923e-5</v>
      </c>
      <c r="E307">
        <f t="shared" si="17"/>
        <v>7.35026739885143e-5</v>
      </c>
      <c r="F307">
        <f t="shared" si="18"/>
        <v>3.72908060806184e-11</v>
      </c>
    </row>
    <row r="308" spans="1:6">
      <c r="A308">
        <v>1.3325</v>
      </c>
      <c r="B308">
        <v>1533.7</v>
      </c>
      <c r="C308">
        <f t="shared" si="16"/>
        <v>0.00172934213911707</v>
      </c>
      <c r="D308">
        <f t="shared" si="19"/>
        <v>3.44350649444078e-5</v>
      </c>
      <c r="E308">
        <f t="shared" si="17"/>
        <v>7.45169020969606e-5</v>
      </c>
      <c r="F308">
        <f t="shared" si="18"/>
        <v>1.60655366952376e-9</v>
      </c>
    </row>
    <row r="309" spans="1:6">
      <c r="A309">
        <v>1.3295</v>
      </c>
      <c r="B309">
        <v>1512.84</v>
      </c>
      <c r="C309">
        <f t="shared" si="16"/>
        <v>-0.0136944376255558</v>
      </c>
      <c r="D309">
        <f t="shared" si="19"/>
        <v>1.87128445892669e-5</v>
      </c>
      <c r="E309">
        <f t="shared" si="17"/>
        <v>9.50532283957486e-5</v>
      </c>
      <c r="F309">
        <f t="shared" si="18"/>
        <v>5.82785419972093e-9</v>
      </c>
    </row>
    <row r="310" spans="1:6">
      <c r="A310">
        <v>1.3311</v>
      </c>
      <c r="B310">
        <v>1522.19</v>
      </c>
      <c r="C310">
        <f t="shared" si="16"/>
        <v>0.00616140834156425</v>
      </c>
      <c r="D310">
        <f t="shared" si="19"/>
        <v>0.000103125233234753</v>
      </c>
      <c r="E310">
        <f t="shared" si="17"/>
        <v>9.76851618708175e-5</v>
      </c>
      <c r="F310">
        <f t="shared" si="18"/>
        <v>2.95943764447068e-11</v>
      </c>
    </row>
    <row r="311" spans="1:6">
      <c r="A311">
        <v>1.3365</v>
      </c>
      <c r="B311">
        <v>1502.56</v>
      </c>
      <c r="C311">
        <f t="shared" si="16"/>
        <v>-0.012979767316439</v>
      </c>
      <c r="D311">
        <f t="shared" si="19"/>
        <v>7.05440929931251e-5</v>
      </c>
      <c r="E311">
        <f t="shared" si="17"/>
        <v>0.00010075546645111</v>
      </c>
      <c r="F311">
        <f t="shared" si="18"/>
        <v>9.12727086217824e-10</v>
      </c>
    </row>
    <row r="312" spans="1:6">
      <c r="A312">
        <v>1.3401</v>
      </c>
      <c r="B312">
        <v>1497.74</v>
      </c>
      <c r="C312">
        <f t="shared" si="16"/>
        <v>-0.00321301479624747</v>
      </c>
      <c r="D312">
        <f t="shared" si="19"/>
        <v>0.000119509226291012</v>
      </c>
      <c r="E312">
        <f t="shared" si="17"/>
        <v>0.000100520783151683</v>
      </c>
      <c r="F312">
        <f t="shared" si="18"/>
        <v>3.60560972855532e-10</v>
      </c>
    </row>
    <row r="313" spans="1:6">
      <c r="A313">
        <v>1.3416</v>
      </c>
      <c r="B313">
        <v>1492.89</v>
      </c>
      <c r="C313">
        <f t="shared" si="16"/>
        <v>-0.00324346659524112</v>
      </c>
      <c r="D313">
        <f t="shared" si="19"/>
        <v>6.49163451859584e-5</v>
      </c>
      <c r="E313">
        <f t="shared" si="17"/>
        <v>0.000103049867573096</v>
      </c>
      <c r="F313">
        <f t="shared" si="18"/>
        <v>1.4541655296503e-9</v>
      </c>
    </row>
    <row r="314" spans="1:6">
      <c r="A314">
        <v>1.3426</v>
      </c>
      <c r="B314">
        <v>1506.34</v>
      </c>
      <c r="C314">
        <f t="shared" si="16"/>
        <v>0.00896902882647248</v>
      </c>
      <c r="D314">
        <f t="shared" si="19"/>
        <v>3.77182103702017e-5</v>
      </c>
      <c r="E314">
        <f t="shared" si="17"/>
        <v>0.000103800701934614</v>
      </c>
      <c r="F314">
        <f t="shared" si="18"/>
        <v>4.36689569136067e-9</v>
      </c>
    </row>
    <row r="315" spans="1:6">
      <c r="A315">
        <v>1.3399</v>
      </c>
      <c r="B315">
        <v>1505.71</v>
      </c>
      <c r="C315">
        <f t="shared" si="16"/>
        <v>-0.000418319755108289</v>
      </c>
      <c r="D315">
        <f t="shared" si="19"/>
        <v>5.9080844230148e-5</v>
      </c>
      <c r="E315">
        <f t="shared" si="17"/>
        <v>0.000126099477061144</v>
      </c>
      <c r="F315">
        <f t="shared" si="18"/>
        <v>4.49149714653583e-9</v>
      </c>
    </row>
    <row r="316" spans="1:6">
      <c r="A316">
        <v>1.3438</v>
      </c>
      <c r="B316">
        <v>1503.35</v>
      </c>
      <c r="C316">
        <f t="shared" si="16"/>
        <v>-0.00156859649451819</v>
      </c>
      <c r="D316">
        <f t="shared" si="19"/>
        <v>2.96279178238309e-5</v>
      </c>
      <c r="E316">
        <f t="shared" si="17"/>
        <v>0.000151691245692256</v>
      </c>
      <c r="F316">
        <f t="shared" si="18"/>
        <v>1.48994560103145e-8</v>
      </c>
    </row>
    <row r="317" spans="1:6">
      <c r="A317">
        <v>1.345</v>
      </c>
      <c r="B317">
        <v>1519.43</v>
      </c>
      <c r="C317">
        <f t="shared" si="16"/>
        <v>0.0106393132685781</v>
      </c>
      <c r="D317">
        <f t="shared" si="19"/>
        <v>1.60442063932228e-5</v>
      </c>
      <c r="E317">
        <f t="shared" si="17"/>
        <v>0.000153616606793562</v>
      </c>
      <c r="F317">
        <f t="shared" si="18"/>
        <v>1.89261653519112e-8</v>
      </c>
    </row>
    <row r="318" spans="1:6">
      <c r="A318">
        <v>1.3468</v>
      </c>
      <c r="B318">
        <v>1524.87</v>
      </c>
      <c r="C318">
        <f t="shared" si="16"/>
        <v>0.00357389599599521</v>
      </c>
      <c r="D318">
        <f t="shared" si="19"/>
        <v>6.46195966100824e-5</v>
      </c>
      <c r="E318">
        <f t="shared" si="17"/>
        <v>0.000157065747866455</v>
      </c>
      <c r="F318">
        <f t="shared" si="18"/>
        <v>8.54629088211607e-9</v>
      </c>
    </row>
    <row r="319" spans="1:6">
      <c r="A319">
        <v>1.3433</v>
      </c>
      <c r="B319">
        <v>1525.4</v>
      </c>
      <c r="C319">
        <f t="shared" si="16"/>
        <v>0.000347510223903959</v>
      </c>
      <c r="D319">
        <f t="shared" si="19"/>
        <v>3.86961646001365e-5</v>
      </c>
      <c r="E319">
        <f t="shared" si="17"/>
        <v>0.000189539297008639</v>
      </c>
      <c r="F319">
        <f t="shared" si="18"/>
        <v>2.27536505948089e-8</v>
      </c>
    </row>
    <row r="320" spans="1:6">
      <c r="A320">
        <v>1.3466</v>
      </c>
      <c r="B320">
        <v>1530.44</v>
      </c>
      <c r="C320">
        <f t="shared" si="16"/>
        <v>0.00329860501199859</v>
      </c>
      <c r="D320">
        <f t="shared" si="19"/>
        <v>1.94084639779271e-5</v>
      </c>
      <c r="E320">
        <f t="shared" si="17"/>
        <v>0.000189544780996209</v>
      </c>
      <c r="F320">
        <f t="shared" si="18"/>
        <v>2.89463663685453e-8</v>
      </c>
    </row>
    <row r="321" spans="1:6">
      <c r="A321">
        <v>1.352</v>
      </c>
      <c r="B321">
        <v>1531.85</v>
      </c>
      <c r="C321">
        <f t="shared" si="16"/>
        <v>0.000920879537628351</v>
      </c>
      <c r="D321">
        <f t="shared" si="19"/>
        <v>1.51446295015547e-5</v>
      </c>
      <c r="E321">
        <f t="shared" si="17"/>
        <v>0.000188534701260028</v>
      </c>
      <c r="F321">
        <f t="shared" si="18"/>
        <v>3.00641169844084e-8</v>
      </c>
    </row>
    <row r="322" spans="1:6">
      <c r="A322">
        <v>1.3627</v>
      </c>
      <c r="B322">
        <v>1510.12</v>
      </c>
      <c r="C322">
        <f t="shared" si="16"/>
        <v>-0.0142870374297089</v>
      </c>
      <c r="D322">
        <f t="shared" si="19"/>
        <v>7.99632431218864e-6</v>
      </c>
      <c r="E322">
        <f t="shared" si="17"/>
        <v>0.000198282995866899</v>
      </c>
      <c r="F322">
        <f t="shared" si="18"/>
        <v>3.620901737137e-8</v>
      </c>
    </row>
    <row r="323" spans="1:6">
      <c r="A323">
        <v>1.3615</v>
      </c>
      <c r="B323">
        <v>1518.76</v>
      </c>
      <c r="C323">
        <f t="shared" si="16"/>
        <v>0.00570509457926515</v>
      </c>
      <c r="D323">
        <f t="shared" si="19"/>
        <v>0.000106057881415046</v>
      </c>
      <c r="E323">
        <f t="shared" si="17"/>
        <v>0.00019802586324719</v>
      </c>
      <c r="F323">
        <f t="shared" si="18"/>
        <v>8.45810968227753e-9</v>
      </c>
    </row>
    <row r="324" spans="1:6">
      <c r="A324">
        <v>1.3592</v>
      </c>
      <c r="B324">
        <v>1547.7</v>
      </c>
      <c r="C324">
        <f t="shared" ref="C324:C387" si="20">LN(B324/B323)</f>
        <v>0.0188757454893922</v>
      </c>
      <c r="D324">
        <f t="shared" si="19"/>
        <v>6.93029927867032e-5</v>
      </c>
      <c r="E324">
        <f t="shared" ref="E324:E387" si="21">_xlfn.VAR.S(C324:C349)</f>
        <v>0.000196598086316484</v>
      </c>
      <c r="F324">
        <f t="shared" ref="F324:F387" si="22">(D324-E324)^2</f>
        <v>1.62040408367555e-8</v>
      </c>
    </row>
    <row r="325" spans="1:6">
      <c r="A325">
        <v>1.3626</v>
      </c>
      <c r="B325">
        <v>1552.5</v>
      </c>
      <c r="C325">
        <f t="shared" si="20"/>
        <v>0.00309657688891993</v>
      </c>
      <c r="D325">
        <f t="shared" ref="D325:D388" si="23">$H$1*D324+(1-$H$1)*C324^2</f>
        <v>0.000212798380283507</v>
      </c>
      <c r="E325">
        <f t="shared" si="21"/>
        <v>0.000207080411475855</v>
      </c>
      <c r="F325">
        <f t="shared" si="22"/>
        <v>3.26951672852821e-11</v>
      </c>
    </row>
    <row r="326" spans="1:6">
      <c r="A326">
        <v>1.3623</v>
      </c>
      <c r="B326">
        <v>1549.52</v>
      </c>
      <c r="C326">
        <f t="shared" si="20"/>
        <v>-0.00192132927365002</v>
      </c>
      <c r="D326">
        <f t="shared" si="23"/>
        <v>0.00011119358435625</v>
      </c>
      <c r="E326">
        <f t="shared" si="21"/>
        <v>0.000205977888894771</v>
      </c>
      <c r="F326">
        <f t="shared" si="22"/>
        <v>8.98406438685114e-9</v>
      </c>
    </row>
    <row r="327" spans="1:6">
      <c r="A327">
        <v>1.3714</v>
      </c>
      <c r="B327">
        <v>1549.37</v>
      </c>
      <c r="C327">
        <f t="shared" si="20"/>
        <v>-9.68088574407347e-5</v>
      </c>
      <c r="D327">
        <f t="shared" si="23"/>
        <v>5.74425452670172e-5</v>
      </c>
      <c r="E327">
        <f t="shared" si="21"/>
        <v>0.000206523813865887</v>
      </c>
      <c r="F327">
        <f t="shared" si="22"/>
        <v>2.22252246470484e-8</v>
      </c>
    </row>
    <row r="328" spans="1:6">
      <c r="A328">
        <v>1.3757</v>
      </c>
      <c r="B328">
        <v>1546.17</v>
      </c>
      <c r="C328">
        <f t="shared" si="20"/>
        <v>-0.00206749138429604</v>
      </c>
      <c r="D328">
        <f t="shared" si="23"/>
        <v>2.87259586109481e-5</v>
      </c>
      <c r="E328">
        <f t="shared" si="21"/>
        <v>0.000214205520137145</v>
      </c>
      <c r="F328">
        <f t="shared" si="22"/>
        <v>3.44026677439502e-8</v>
      </c>
    </row>
    <row r="329" spans="1:6">
      <c r="A329">
        <v>1.3776</v>
      </c>
      <c r="B329">
        <v>1553.08</v>
      </c>
      <c r="C329">
        <f t="shared" si="20"/>
        <v>0.00445915072993832</v>
      </c>
      <c r="D329">
        <f t="shared" si="23"/>
        <v>1.65002396175432e-5</v>
      </c>
      <c r="E329">
        <f t="shared" si="21"/>
        <v>0.000214252357710463</v>
      </c>
      <c r="F329">
        <f t="shared" si="22"/>
        <v>3.9105900210236e-8</v>
      </c>
    </row>
    <row r="330" spans="1:6">
      <c r="A330">
        <v>1.3788</v>
      </c>
      <c r="B330">
        <v>1534.1</v>
      </c>
      <c r="C330">
        <f t="shared" si="20"/>
        <v>-0.0122961661714576</v>
      </c>
      <c r="D330">
        <f t="shared" si="23"/>
        <v>1.81921324249263e-5</v>
      </c>
      <c r="E330">
        <f t="shared" si="21"/>
        <v>0.000219842889289403</v>
      </c>
      <c r="F330">
        <f t="shared" si="22"/>
        <v>4.06630277440162e-8</v>
      </c>
    </row>
    <row r="331" spans="1:6">
      <c r="A331">
        <v>1.3785</v>
      </c>
      <c r="B331">
        <v>1541.57</v>
      </c>
      <c r="C331">
        <f t="shared" si="20"/>
        <v>0.0048574877590889</v>
      </c>
      <c r="D331">
        <f t="shared" si="23"/>
        <v>8.46939174705123e-5</v>
      </c>
      <c r="E331">
        <f t="shared" si="21"/>
        <v>0.00021725257509087</v>
      </c>
      <c r="F331">
        <f t="shared" si="22"/>
        <v>1.75717977101112e-8</v>
      </c>
    </row>
    <row r="332" spans="1:6">
      <c r="A332">
        <v>1.3782</v>
      </c>
      <c r="B332">
        <v>1511.04</v>
      </c>
      <c r="C332">
        <f t="shared" si="20"/>
        <v>-0.0200032221527231</v>
      </c>
      <c r="D332">
        <f t="shared" si="23"/>
        <v>5.41445524001054e-5</v>
      </c>
      <c r="E332">
        <f t="shared" si="21"/>
        <v>0.000233667695261215</v>
      </c>
      <c r="F332">
        <f t="shared" si="22"/>
        <v>3.22285588227303e-8</v>
      </c>
    </row>
    <row r="333" spans="1:6">
      <c r="A333">
        <v>1.3808</v>
      </c>
      <c r="B333">
        <v>1518.09</v>
      </c>
      <c r="C333">
        <f t="shared" si="20"/>
        <v>0.00465481027853522</v>
      </c>
      <c r="D333">
        <f t="shared" si="23"/>
        <v>0.000227136724445649</v>
      </c>
      <c r="E333">
        <f t="shared" si="21"/>
        <v>0.000243223589080718</v>
      </c>
      <c r="F333">
        <f t="shared" si="22"/>
        <v>2.58787213787032e-10</v>
      </c>
    </row>
    <row r="334" spans="1:6">
      <c r="A334">
        <v>1.3811</v>
      </c>
      <c r="B334">
        <v>1482.66</v>
      </c>
      <c r="C334">
        <f t="shared" si="20"/>
        <v>-0.0236151938863066</v>
      </c>
      <c r="D334">
        <f t="shared" si="23"/>
        <v>0.000124401991587403</v>
      </c>
      <c r="E334">
        <f t="shared" si="21"/>
        <v>0.000242073591210367</v>
      </c>
      <c r="F334">
        <f t="shared" si="22"/>
        <v>1.38466053578271e-8</v>
      </c>
    </row>
    <row r="335" spans="1:6">
      <c r="A335">
        <v>1.3831</v>
      </c>
      <c r="B335">
        <v>1458.95</v>
      </c>
      <c r="C335">
        <f t="shared" si="20"/>
        <v>-0.016120772961746</v>
      </c>
      <c r="D335">
        <f t="shared" si="23"/>
        <v>0.000341039686937628</v>
      </c>
      <c r="E335">
        <f t="shared" si="21"/>
        <v>0.000227230556178263</v>
      </c>
      <c r="F335">
        <f t="shared" si="22"/>
        <v>1.29525182442021e-8</v>
      </c>
    </row>
    <row r="336" spans="1:6">
      <c r="A336">
        <v>1.3817</v>
      </c>
      <c r="B336">
        <v>1473.91</v>
      </c>
      <c r="C336">
        <f t="shared" si="20"/>
        <v>0.0102017346529289</v>
      </c>
      <c r="D336">
        <f t="shared" si="23"/>
        <v>0.000300459503910894</v>
      </c>
      <c r="E336">
        <f t="shared" si="21"/>
        <v>0.000220568873848288</v>
      </c>
      <c r="F336">
        <f t="shared" si="22"/>
        <v>6.38251277180021e-9</v>
      </c>
    </row>
    <row r="337" spans="1:6">
      <c r="A337">
        <v>1.3824</v>
      </c>
      <c r="B337">
        <v>1455.27</v>
      </c>
      <c r="C337">
        <f t="shared" si="20"/>
        <v>-0.0127272831400307</v>
      </c>
      <c r="D337">
        <f t="shared" si="23"/>
        <v>0.000202267446919832</v>
      </c>
      <c r="E337">
        <f t="shared" si="21"/>
        <v>0.000222413822606513</v>
      </c>
      <c r="F337">
        <f t="shared" si="22"/>
        <v>4.05876453308882e-10</v>
      </c>
    </row>
    <row r="338" spans="1:6">
      <c r="A338">
        <v>1.3711</v>
      </c>
      <c r="B338">
        <v>1465.81</v>
      </c>
      <c r="C338">
        <f t="shared" si="20"/>
        <v>0.00721654028113025</v>
      </c>
      <c r="D338">
        <f t="shared" si="23"/>
        <v>0.000182125591523171</v>
      </c>
      <c r="E338">
        <f t="shared" si="21"/>
        <v>0.000216268917219344</v>
      </c>
      <c r="F338">
        <f t="shared" si="22"/>
        <v>1.16576668959493e-9</v>
      </c>
    </row>
    <row r="339" spans="1:6">
      <c r="A339">
        <v>1.373</v>
      </c>
      <c r="B339">
        <v>1472.2</v>
      </c>
      <c r="C339">
        <f t="shared" si="20"/>
        <v>0.00434988994300101</v>
      </c>
      <c r="D339">
        <f t="shared" si="23"/>
        <v>0.000117102022576173</v>
      </c>
      <c r="E339">
        <f t="shared" si="21"/>
        <v>0.000226096983925574</v>
      </c>
      <c r="F339">
        <f t="shared" si="22"/>
        <v>1.18799015995574e-8</v>
      </c>
    </row>
    <row r="340" spans="1:6">
      <c r="A340">
        <v>1.3647</v>
      </c>
      <c r="B340">
        <v>1433.06</v>
      </c>
      <c r="C340">
        <f t="shared" si="20"/>
        <v>-0.0269458624705936</v>
      </c>
      <c r="D340">
        <f t="shared" si="23"/>
        <v>6.80117825461973e-5</v>
      </c>
      <c r="E340">
        <f t="shared" si="21"/>
        <v>0.00022521101931716</v>
      </c>
      <c r="F340">
        <f t="shared" si="22"/>
        <v>2.47116000413732e-8</v>
      </c>
    </row>
    <row r="341" spans="1:6">
      <c r="A341">
        <v>1.3681</v>
      </c>
      <c r="B341">
        <v>1467.67</v>
      </c>
      <c r="C341">
        <f t="shared" si="20"/>
        <v>0.0238640911097947</v>
      </c>
      <c r="D341">
        <f t="shared" si="23"/>
        <v>0.000397045643415171</v>
      </c>
      <c r="E341">
        <f t="shared" si="21"/>
        <v>0.00020272643417703</v>
      </c>
      <c r="F341">
        <f t="shared" si="22"/>
        <v>3.77599550789364e-8</v>
      </c>
    </row>
    <row r="342" spans="1:6">
      <c r="A342">
        <v>1.3711</v>
      </c>
      <c r="B342">
        <v>1476.71</v>
      </c>
      <c r="C342">
        <f t="shared" si="20"/>
        <v>0.00614053104915831</v>
      </c>
      <c r="D342">
        <f t="shared" si="23"/>
        <v>0.000483270243955877</v>
      </c>
      <c r="E342">
        <f t="shared" si="21"/>
        <v>0.00018101336034599</v>
      </c>
      <c r="F342">
        <f t="shared" si="22"/>
        <v>9.13592236895607e-8</v>
      </c>
    </row>
    <row r="343" spans="1:6">
      <c r="A343">
        <v>1.3682</v>
      </c>
      <c r="B343">
        <v>1497.49</v>
      </c>
      <c r="C343">
        <f t="shared" si="20"/>
        <v>0.0139737328580156</v>
      </c>
      <c r="D343">
        <f t="shared" si="23"/>
        <v>0.000260488182760777</v>
      </c>
      <c r="E343">
        <f t="shared" si="21"/>
        <v>0.000182291013522552</v>
      </c>
      <c r="F343">
        <f t="shared" si="22"/>
        <v>6.11479727687156e-9</v>
      </c>
    </row>
    <row r="344" spans="1:6">
      <c r="A344">
        <v>1.3693</v>
      </c>
      <c r="B344">
        <v>1453.09</v>
      </c>
      <c r="C344">
        <f t="shared" si="20"/>
        <v>-0.0300980497068378</v>
      </c>
      <c r="D344">
        <f t="shared" si="23"/>
        <v>0.000227876696373981</v>
      </c>
      <c r="E344">
        <f t="shared" si="21"/>
        <v>0.000174397503893896</v>
      </c>
      <c r="F344">
        <f t="shared" si="22"/>
        <v>2.86002402832197e-9</v>
      </c>
    </row>
    <row r="345" spans="1:6">
      <c r="A345">
        <v>1.3785</v>
      </c>
      <c r="B345">
        <v>1453.64</v>
      </c>
      <c r="C345">
        <f t="shared" si="20"/>
        <v>0.00037843212583485</v>
      </c>
      <c r="D345">
        <f t="shared" si="23"/>
        <v>0.00056688464626463</v>
      </c>
      <c r="E345">
        <f t="shared" si="21"/>
        <v>0.000138939306996252</v>
      </c>
      <c r="F345">
        <f t="shared" si="22"/>
        <v>1.83137213401527e-7</v>
      </c>
    </row>
    <row r="346" spans="1:6">
      <c r="A346">
        <v>1.3789</v>
      </c>
      <c r="B346">
        <v>1452.92</v>
      </c>
      <c r="C346">
        <f t="shared" si="20"/>
        <v>-0.000495431035125495</v>
      </c>
      <c r="D346">
        <f t="shared" si="23"/>
        <v>0.000283513928569247</v>
      </c>
      <c r="E346">
        <f t="shared" si="21"/>
        <v>0.000169439318622259</v>
      </c>
      <c r="F346">
        <f t="shared" si="22"/>
        <v>1.30130166345574e-8</v>
      </c>
    </row>
    <row r="347" spans="1:6">
      <c r="A347">
        <v>1.3747</v>
      </c>
      <c r="B347">
        <v>1426.54</v>
      </c>
      <c r="C347">
        <f t="shared" si="20"/>
        <v>-0.018323392635474</v>
      </c>
      <c r="D347">
        <f t="shared" si="23"/>
        <v>0.000141879690239906</v>
      </c>
      <c r="E347">
        <f t="shared" si="21"/>
        <v>0.000169937456720081</v>
      </c>
      <c r="F347">
        <f t="shared" si="22"/>
        <v>7.87238259855993e-10</v>
      </c>
    </row>
    <row r="348" spans="1:6">
      <c r="A348">
        <v>1.3808</v>
      </c>
      <c r="B348">
        <v>1406.7</v>
      </c>
      <c r="C348">
        <f t="shared" si="20"/>
        <v>-0.0140053961557279</v>
      </c>
      <c r="D348">
        <f t="shared" si="23"/>
        <v>0.000238813203956825</v>
      </c>
      <c r="E348">
        <f t="shared" si="21"/>
        <v>0.000156302826164362</v>
      </c>
      <c r="F348">
        <f t="shared" si="22"/>
        <v>6.8079624434549e-9</v>
      </c>
    </row>
    <row r="349" spans="1:6">
      <c r="A349">
        <v>1.3701</v>
      </c>
      <c r="B349">
        <v>1411.27</v>
      </c>
      <c r="C349">
        <f t="shared" si="20"/>
        <v>0.00324347243328283</v>
      </c>
      <c r="D349">
        <f t="shared" si="23"/>
        <v>0.000217482162717851</v>
      </c>
      <c r="E349">
        <f t="shared" si="21"/>
        <v>0.000145184716072272</v>
      </c>
      <c r="F349">
        <f t="shared" si="22"/>
        <v>5.22692079147037e-9</v>
      </c>
    </row>
    <row r="350" spans="1:6">
      <c r="A350">
        <v>1.3686</v>
      </c>
      <c r="B350">
        <v>1445.94</v>
      </c>
      <c r="C350">
        <f t="shared" si="20"/>
        <v>0.0242696208849526</v>
      </c>
      <c r="D350">
        <f t="shared" si="23"/>
        <v>0.000114001138071658</v>
      </c>
      <c r="E350">
        <f t="shared" si="21"/>
        <v>0.000147891605920609</v>
      </c>
      <c r="F350">
        <f t="shared" si="22"/>
        <v>1.14856381102076e-9</v>
      </c>
    </row>
    <row r="351" spans="1:6">
      <c r="A351">
        <v>1.3624</v>
      </c>
      <c r="B351">
        <v>1445.55</v>
      </c>
      <c r="C351">
        <f t="shared" si="20"/>
        <v>-0.000269757116479805</v>
      </c>
      <c r="D351">
        <f t="shared" si="23"/>
        <v>0.000351507817985493</v>
      </c>
      <c r="E351">
        <f t="shared" si="21"/>
        <v>0.000128911311135636</v>
      </c>
      <c r="F351">
        <f t="shared" si="22"/>
        <v>4.95492048617585e-8</v>
      </c>
    </row>
    <row r="352" spans="1:6">
      <c r="A352">
        <v>1.3581</v>
      </c>
      <c r="B352">
        <v>1447.12</v>
      </c>
      <c r="C352">
        <f t="shared" si="20"/>
        <v>0.00108550242797341</v>
      </c>
      <c r="D352">
        <f t="shared" si="23"/>
        <v>0.000175790293443692</v>
      </c>
      <c r="E352">
        <f t="shared" si="21"/>
        <v>0.000129185095626066</v>
      </c>
      <c r="F352">
        <f t="shared" si="22"/>
        <v>2.1720444636201e-9</v>
      </c>
    </row>
    <row r="353" spans="1:6">
      <c r="A353">
        <v>1.3479</v>
      </c>
      <c r="B353">
        <v>1464.07</v>
      </c>
      <c r="C353">
        <f t="shared" si="20"/>
        <v>0.0116448541924648</v>
      </c>
      <c r="D353">
        <f t="shared" si="23"/>
        <v>8.84843044824142e-5</v>
      </c>
      <c r="E353">
        <f t="shared" si="21"/>
        <v>0.000129268374760192</v>
      </c>
      <c r="F353">
        <f t="shared" si="22"/>
        <v>1.66334038842276e-9</v>
      </c>
    </row>
    <row r="354" spans="1:6">
      <c r="A354">
        <v>1.3402</v>
      </c>
      <c r="B354">
        <v>1462.5</v>
      </c>
      <c r="C354">
        <f t="shared" si="20"/>
        <v>-0.0010729284798328</v>
      </c>
      <c r="D354">
        <f t="shared" si="23"/>
        <v>0.00011204346682309</v>
      </c>
      <c r="E354">
        <f t="shared" si="21"/>
        <v>0.000126434859491622</v>
      </c>
      <c r="F354">
        <f t="shared" si="22"/>
        <v>2.07112182939886e-10</v>
      </c>
    </row>
    <row r="355" spans="1:6">
      <c r="A355">
        <v>1.3492</v>
      </c>
      <c r="B355">
        <v>1479.37</v>
      </c>
      <c r="C355">
        <f t="shared" si="20"/>
        <v>0.011469021350864</v>
      </c>
      <c r="D355">
        <f t="shared" si="23"/>
        <v>5.6597321172963e-5</v>
      </c>
      <c r="E355">
        <f t="shared" si="21"/>
        <v>0.000131205852808593</v>
      </c>
      <c r="F355">
        <f t="shared" si="22"/>
        <v>5.5664329928248e-9</v>
      </c>
    </row>
    <row r="356" spans="1:6">
      <c r="A356">
        <v>1.3468</v>
      </c>
      <c r="B356">
        <v>1466.79</v>
      </c>
      <c r="C356">
        <f t="shared" si="20"/>
        <v>-0.00853998184498411</v>
      </c>
      <c r="D356">
        <f t="shared" si="23"/>
        <v>9.40678859597686e-5</v>
      </c>
      <c r="E356">
        <f t="shared" si="21"/>
        <v>0.000127764249558838</v>
      </c>
      <c r="F356">
        <f t="shared" si="22"/>
        <v>1.13544491980072e-9</v>
      </c>
    </row>
    <row r="357" spans="1:6">
      <c r="A357">
        <v>1.3483</v>
      </c>
      <c r="B357">
        <v>1432.36</v>
      </c>
      <c r="C357">
        <f t="shared" si="20"/>
        <v>-0.0237529060380981</v>
      </c>
      <c r="D357">
        <f t="shared" si="23"/>
        <v>8.34995879362134e-5</v>
      </c>
      <c r="E357">
        <f t="shared" si="21"/>
        <v>0.000125111028307185</v>
      </c>
      <c r="F357">
        <f t="shared" si="22"/>
        <v>1.73151196974696e-9</v>
      </c>
    </row>
    <row r="358" spans="1:6">
      <c r="A358">
        <v>1.3535</v>
      </c>
      <c r="B358">
        <v>1463.76</v>
      </c>
      <c r="C358">
        <f t="shared" si="20"/>
        <v>0.0216850340825172</v>
      </c>
      <c r="D358">
        <f t="shared" si="23"/>
        <v>0.000323850066595465</v>
      </c>
      <c r="E358">
        <f t="shared" si="21"/>
        <v>9.78373539754327e-5</v>
      </c>
      <c r="F358">
        <f t="shared" si="22"/>
        <v>5.10817462658654e-8</v>
      </c>
    </row>
    <row r="359" spans="1:6">
      <c r="A359">
        <v>1.356</v>
      </c>
      <c r="B359">
        <v>1457.64</v>
      </c>
      <c r="C359">
        <f t="shared" si="20"/>
        <v>-0.00418977815613072</v>
      </c>
      <c r="D359">
        <f t="shared" si="23"/>
        <v>0.000397045384877699</v>
      </c>
      <c r="E359">
        <f t="shared" si="21"/>
        <v>8.52035168620306e-5</v>
      </c>
      <c r="F359">
        <f t="shared" si="22"/>
        <v>9.72453506475015e-8</v>
      </c>
    </row>
    <row r="360" spans="1:6">
      <c r="A360">
        <v>1.3645</v>
      </c>
      <c r="B360">
        <v>1473.99</v>
      </c>
      <c r="C360">
        <f t="shared" si="20"/>
        <v>0.0111543199655732</v>
      </c>
      <c r="D360">
        <f t="shared" si="23"/>
        <v>0.000207299812937645</v>
      </c>
      <c r="E360">
        <f t="shared" si="21"/>
        <v>8.4730005077919e-5</v>
      </c>
      <c r="F360">
        <f t="shared" si="22"/>
        <v>1.502335779877e-8</v>
      </c>
    </row>
    <row r="361" spans="1:6">
      <c r="A361">
        <v>1.3645</v>
      </c>
      <c r="B361">
        <v>1489.42</v>
      </c>
      <c r="C361">
        <f t="shared" si="20"/>
        <v>0.0104137729467655</v>
      </c>
      <c r="D361">
        <f t="shared" si="23"/>
        <v>0.000165859333416015</v>
      </c>
      <c r="E361">
        <f t="shared" si="21"/>
        <v>8.29394909721995e-5</v>
      </c>
      <c r="F361">
        <f t="shared" si="22"/>
        <v>6.87570027090714e-9</v>
      </c>
    </row>
    <row r="362" spans="1:6">
      <c r="A362">
        <v>1.3626</v>
      </c>
      <c r="B362">
        <v>1472.29</v>
      </c>
      <c r="C362">
        <f t="shared" si="20"/>
        <v>-0.0115677706582249</v>
      </c>
      <c r="D362">
        <f t="shared" si="23"/>
        <v>0.0001371530002014</v>
      </c>
      <c r="E362">
        <f t="shared" si="21"/>
        <v>8.07320840405764e-5</v>
      </c>
      <c r="F362">
        <f t="shared" si="22"/>
        <v>3.18331978042666e-9</v>
      </c>
    </row>
    <row r="363" spans="1:6">
      <c r="A363">
        <v>1.3675</v>
      </c>
      <c r="B363">
        <v>1478.55</v>
      </c>
      <c r="C363">
        <f t="shared" si="20"/>
        <v>0.00424286602526387</v>
      </c>
      <c r="D363">
        <f t="shared" si="23"/>
        <v>0.000135483159101344</v>
      </c>
      <c r="E363">
        <f t="shared" si="21"/>
        <v>7.54442488054254e-5</v>
      </c>
      <c r="F363">
        <f t="shared" si="22"/>
        <v>3.60467074952141e-9</v>
      </c>
    </row>
    <row r="364" spans="1:6">
      <c r="A364">
        <v>1.3648</v>
      </c>
      <c r="B364">
        <v>1453.55</v>
      </c>
      <c r="C364">
        <f t="shared" si="20"/>
        <v>-0.0170530376474818</v>
      </c>
      <c r="D364">
        <f t="shared" si="23"/>
        <v>7.67425356048414e-5</v>
      </c>
      <c r="E364">
        <f t="shared" si="21"/>
        <v>7.55400933661709e-5</v>
      </c>
      <c r="F364">
        <f t="shared" si="22"/>
        <v>1.44586733733888e-12</v>
      </c>
    </row>
    <row r="365" spans="1:6">
      <c r="A365">
        <v>1.3641</v>
      </c>
      <c r="B365">
        <v>1451.7</v>
      </c>
      <c r="C365">
        <f t="shared" si="20"/>
        <v>-0.00127355666469324</v>
      </c>
      <c r="D365">
        <f t="shared" si="23"/>
        <v>0.000183774314305637</v>
      </c>
      <c r="E365">
        <f t="shared" si="21"/>
        <v>6.5171102559742e-5</v>
      </c>
      <c r="F365">
        <f t="shared" si="22"/>
        <v>1.40667218364415e-8</v>
      </c>
    </row>
    <row r="366" spans="1:6">
      <c r="A366">
        <v>1.3641</v>
      </c>
      <c r="B366">
        <v>1471.49</v>
      </c>
      <c r="C366">
        <f t="shared" si="20"/>
        <v>0.0135402093964411</v>
      </c>
      <c r="D366">
        <f t="shared" si="23"/>
        <v>9.26981304419105e-5</v>
      </c>
      <c r="E366">
        <f t="shared" si="21"/>
        <v>6.78406688328893e-5</v>
      </c>
      <c r="F366">
        <f t="shared" si="22"/>
        <v>6.17893397643963e-10</v>
      </c>
    </row>
    <row r="367" spans="1:6">
      <c r="A367">
        <v>1.3606</v>
      </c>
      <c r="B367">
        <v>1471.56</v>
      </c>
      <c r="C367">
        <f t="shared" si="20"/>
        <v>4.75696981112704e-5</v>
      </c>
      <c r="D367">
        <f t="shared" si="23"/>
        <v>0.000138017700470691</v>
      </c>
      <c r="E367">
        <f t="shared" si="21"/>
        <v>6.25232385630651e-5</v>
      </c>
      <c r="F367">
        <f t="shared" si="22"/>
        <v>5.69941377872201e-9</v>
      </c>
    </row>
    <row r="368" spans="1:6">
      <c r="A368">
        <v>1.3669</v>
      </c>
      <c r="B368">
        <v>1483.95</v>
      </c>
      <c r="C368">
        <f t="shared" si="20"/>
        <v>0.00838438887540626</v>
      </c>
      <c r="D368">
        <f t="shared" si="23"/>
        <v>6.90099816734348e-5</v>
      </c>
      <c r="E368">
        <f t="shared" si="21"/>
        <v>6.26589066343687e-5</v>
      </c>
      <c r="F368">
        <f t="shared" si="22"/>
        <v>4.03361541518485e-11</v>
      </c>
    </row>
    <row r="369" spans="1:6">
      <c r="A369">
        <v>1.3697</v>
      </c>
      <c r="B369">
        <v>1484.25</v>
      </c>
      <c r="C369">
        <f t="shared" si="20"/>
        <v>0.000202142713443557</v>
      </c>
      <c r="D369">
        <f t="shared" si="23"/>
        <v>6.96539792437355e-5</v>
      </c>
      <c r="E369">
        <f t="shared" si="21"/>
        <v>8.97760939611903e-5</v>
      </c>
      <c r="F369">
        <f t="shared" si="22"/>
        <v>4.04899500702411e-10</v>
      </c>
    </row>
    <row r="370" spans="1:6">
      <c r="A370">
        <v>1.3772</v>
      </c>
      <c r="B370">
        <v>1476.65</v>
      </c>
      <c r="C370">
        <f t="shared" si="20"/>
        <v>-0.00513358552512379</v>
      </c>
      <c r="D370">
        <f t="shared" si="23"/>
        <v>3.48474204601669e-5</v>
      </c>
      <c r="E370">
        <f t="shared" si="21"/>
        <v>9.02061355458433e-5</v>
      </c>
      <c r="F370">
        <f t="shared" si="22"/>
        <v>3.06458733593709e-9</v>
      </c>
    </row>
    <row r="371" spans="1:6">
      <c r="A371">
        <v>1.3794</v>
      </c>
      <c r="B371">
        <v>1519.78</v>
      </c>
      <c r="C371">
        <f t="shared" si="20"/>
        <v>0.0287895788971682</v>
      </c>
      <c r="D371">
        <f t="shared" si="23"/>
        <v>3.06005604019637e-5</v>
      </c>
      <c r="E371">
        <f t="shared" si="21"/>
        <v>9.1295908525222e-5</v>
      </c>
      <c r="F371">
        <f t="shared" si="22"/>
        <v>3.68392528380351e-9</v>
      </c>
    </row>
    <row r="372" spans="1:6">
      <c r="A372">
        <v>1.3837</v>
      </c>
      <c r="B372">
        <v>1529.03</v>
      </c>
      <c r="C372">
        <f t="shared" si="20"/>
        <v>0.00606795988085299</v>
      </c>
      <c r="D372">
        <f t="shared" si="23"/>
        <v>0.000429720206739118</v>
      </c>
      <c r="E372">
        <f t="shared" si="21"/>
        <v>5.96352545178652e-5</v>
      </c>
      <c r="F372">
        <f t="shared" si="22"/>
        <v>1.36962871860607e-7</v>
      </c>
    </row>
    <row r="373" spans="1:6">
      <c r="A373">
        <v>1.3904</v>
      </c>
      <c r="B373">
        <v>1518.75</v>
      </c>
      <c r="C373">
        <f t="shared" si="20"/>
        <v>-0.00674591931482364</v>
      </c>
      <c r="D373">
        <f t="shared" si="23"/>
        <v>0.00023327017192738</v>
      </c>
      <c r="E373">
        <f t="shared" si="21"/>
        <v>5.80685671010988e-5</v>
      </c>
      <c r="F373">
        <f t="shared" si="22"/>
        <v>3.06956023337043e-8</v>
      </c>
    </row>
    <row r="374" spans="1:6">
      <c r="A374">
        <v>1.3885</v>
      </c>
      <c r="B374">
        <v>1525.75</v>
      </c>
      <c r="C374">
        <f t="shared" si="20"/>
        <v>0.00459846433574574</v>
      </c>
      <c r="D374">
        <f t="shared" si="23"/>
        <v>0.000139388799664745</v>
      </c>
      <c r="E374">
        <f t="shared" si="21"/>
        <v>6.37106195941153e-5</v>
      </c>
      <c r="F374">
        <f t="shared" si="22"/>
        <v>5.72718693880269e-9</v>
      </c>
    </row>
    <row r="375" spans="1:6">
      <c r="A375">
        <v>1.3848</v>
      </c>
      <c r="B375">
        <v>1517.73</v>
      </c>
      <c r="C375">
        <f t="shared" si="20"/>
        <v>-0.00527029490164129</v>
      </c>
      <c r="D375">
        <f t="shared" si="23"/>
        <v>8.02673369559354e-5</v>
      </c>
      <c r="E375">
        <f t="shared" si="21"/>
        <v>6.34426105946799e-5</v>
      </c>
      <c r="F375">
        <f t="shared" si="22"/>
        <v>2.83071417131124e-10</v>
      </c>
    </row>
    <row r="376" spans="1:6">
      <c r="A376">
        <v>1.386</v>
      </c>
      <c r="B376">
        <v>1517.21</v>
      </c>
      <c r="C376">
        <f t="shared" si="20"/>
        <v>-0.000342675641092418</v>
      </c>
      <c r="D376">
        <f t="shared" si="23"/>
        <v>5.40216726531008e-5</v>
      </c>
      <c r="E376">
        <f t="shared" si="21"/>
        <v>6.40483038450596e-5</v>
      </c>
      <c r="F376">
        <f t="shared" si="22"/>
        <v>1.00533333059562e-10</v>
      </c>
    </row>
    <row r="377" spans="1:6">
      <c r="A377">
        <v>1.3869</v>
      </c>
      <c r="B377">
        <v>1525.42</v>
      </c>
      <c r="C377">
        <f t="shared" si="20"/>
        <v>0.00539666007738003</v>
      </c>
      <c r="D377">
        <f t="shared" si="23"/>
        <v>2.70695496240494e-5</v>
      </c>
      <c r="E377">
        <f t="shared" si="21"/>
        <v>6.91673599205217e-5</v>
      </c>
      <c r="F377">
        <f t="shared" si="22"/>
        <v>1.77222563175777e-9</v>
      </c>
    </row>
    <row r="378" spans="1:6">
      <c r="A378">
        <v>1.395</v>
      </c>
      <c r="B378">
        <v>1531.38</v>
      </c>
      <c r="C378">
        <f t="shared" si="20"/>
        <v>0.00389950768934256</v>
      </c>
      <c r="D378">
        <f t="shared" si="23"/>
        <v>2.80967448074184e-5</v>
      </c>
      <c r="E378">
        <f t="shared" si="21"/>
        <v>9.71711787501544e-5</v>
      </c>
      <c r="F378">
        <f t="shared" si="22"/>
        <v>4.77127742450939e-9</v>
      </c>
    </row>
    <row r="379" spans="1:6">
      <c r="A379">
        <v>1.4092</v>
      </c>
      <c r="B379">
        <v>1526.75</v>
      </c>
      <c r="C379">
        <f t="shared" si="20"/>
        <v>-0.00302799654534889</v>
      </c>
      <c r="D379">
        <f t="shared" si="23"/>
        <v>2.16514525133301e-5</v>
      </c>
      <c r="E379">
        <f t="shared" si="21"/>
        <v>9.64671958702306e-5</v>
      </c>
      <c r="F379">
        <f t="shared" si="22"/>
        <v>5.5973954540456e-9</v>
      </c>
    </row>
    <row r="380" spans="1:6">
      <c r="A380">
        <v>1.4076</v>
      </c>
      <c r="B380">
        <v>1547.04</v>
      </c>
      <c r="C380">
        <f t="shared" si="20"/>
        <v>0.0132021346319932</v>
      </c>
      <c r="D380">
        <f t="shared" si="23"/>
        <v>1.54101077959875e-5</v>
      </c>
      <c r="E380">
        <f t="shared" si="21"/>
        <v>9.69962765439309e-5</v>
      </c>
      <c r="F380">
        <f t="shared" si="22"/>
        <v>6.65630293096791e-9</v>
      </c>
    </row>
    <row r="381" spans="1:6">
      <c r="A381">
        <v>1.4086</v>
      </c>
      <c r="B381">
        <v>1546.63</v>
      </c>
      <c r="C381">
        <f t="shared" si="20"/>
        <v>-0.000265057360610674</v>
      </c>
      <c r="D381">
        <f t="shared" si="23"/>
        <v>9.48532333186308e-5</v>
      </c>
      <c r="E381">
        <f t="shared" si="21"/>
        <v>9.56990946555519e-5</v>
      </c>
      <c r="F381">
        <f t="shared" si="22"/>
        <v>7.15481401297851e-13</v>
      </c>
    </row>
    <row r="382" spans="1:6">
      <c r="A382">
        <v>1.4128</v>
      </c>
      <c r="B382">
        <v>1539.59</v>
      </c>
      <c r="C382">
        <f t="shared" si="20"/>
        <v>-0.00456222317968636</v>
      </c>
      <c r="D382">
        <f t="shared" si="23"/>
        <v>4.74617443615224e-5</v>
      </c>
      <c r="E382">
        <f t="shared" si="21"/>
        <v>0.00012831131651974</v>
      </c>
      <c r="F382">
        <f t="shared" si="22"/>
        <v>6.53665331816689e-9</v>
      </c>
    </row>
    <row r="383" spans="1:6">
      <c r="A383">
        <v>1.4126</v>
      </c>
      <c r="B383">
        <v>1542.84</v>
      </c>
      <c r="C383">
        <f t="shared" si="20"/>
        <v>0.00210872668921747</v>
      </c>
      <c r="D383">
        <f t="shared" si="23"/>
        <v>3.41378123513949e-5</v>
      </c>
      <c r="E383">
        <f t="shared" si="21"/>
        <v>0.000128044040198679</v>
      </c>
      <c r="F383">
        <f t="shared" si="22"/>
        <v>8.81837962850595e-9</v>
      </c>
    </row>
    <row r="384" spans="1:6">
      <c r="A384">
        <v>1.4138</v>
      </c>
      <c r="B384">
        <v>1557.59</v>
      </c>
      <c r="C384">
        <f t="shared" si="20"/>
        <v>0.00951488101968431</v>
      </c>
      <c r="D384">
        <f t="shared" si="23"/>
        <v>1.92922703006065e-5</v>
      </c>
      <c r="E384">
        <f t="shared" si="21"/>
        <v>0.000133546663723134</v>
      </c>
      <c r="F384">
        <f t="shared" si="22"/>
        <v>1.30540664163496e-8</v>
      </c>
    </row>
    <row r="385" spans="1:6">
      <c r="A385">
        <v>1.4219</v>
      </c>
      <c r="B385">
        <v>1552.58</v>
      </c>
      <c r="C385">
        <f t="shared" si="20"/>
        <v>-0.00322169163316198</v>
      </c>
      <c r="D385">
        <f t="shared" si="23"/>
        <v>5.49126155596776e-5</v>
      </c>
      <c r="E385">
        <f t="shared" si="21"/>
        <v>0.00012978746494211</v>
      </c>
      <c r="F385">
        <f t="shared" si="22"/>
        <v>5.60624307004197e-9</v>
      </c>
    </row>
    <row r="386" spans="1:6">
      <c r="A386">
        <v>1.4229</v>
      </c>
      <c r="B386">
        <v>1565.15</v>
      </c>
      <c r="C386">
        <f t="shared" si="20"/>
        <v>0.00806360275594485</v>
      </c>
      <c r="D386">
        <f t="shared" si="23"/>
        <v>3.26459562694318e-5</v>
      </c>
      <c r="E386">
        <f t="shared" si="21"/>
        <v>0.000168463942823949</v>
      </c>
      <c r="F386">
        <f t="shared" si="22"/>
        <v>1.84465254717232e-8</v>
      </c>
    </row>
    <row r="387" spans="1:6">
      <c r="A387">
        <v>1.4163</v>
      </c>
      <c r="B387">
        <v>1562.47</v>
      </c>
      <c r="C387">
        <f t="shared" si="20"/>
        <v>-0.00171376360039058</v>
      </c>
      <c r="D387">
        <f t="shared" si="23"/>
        <v>4.88338228375566e-5</v>
      </c>
      <c r="E387">
        <f t="shared" si="21"/>
        <v>0.000165322958168829</v>
      </c>
      <c r="F387">
        <f t="shared" si="22"/>
        <v>1.35697186502274e-8</v>
      </c>
    </row>
    <row r="388" spans="1:6">
      <c r="A388">
        <v>1.4135</v>
      </c>
      <c r="B388">
        <v>1554.41</v>
      </c>
      <c r="C388">
        <f t="shared" ref="C388:C451" si="24">LN(B388/B387)</f>
        <v>-0.00517185003320877</v>
      </c>
      <c r="D388">
        <f t="shared" si="23"/>
        <v>2.58854042577901e-5</v>
      </c>
      <c r="E388">
        <f t="shared" ref="E388:E451" si="25">_xlfn.VAR.S(C388:C413)</f>
        <v>0.000169853126130523</v>
      </c>
      <c r="F388">
        <f t="shared" ref="F388:F451" si="26">(D388-E388)^2</f>
        <v>2.07267049412247e-8</v>
      </c>
    </row>
    <row r="389" spans="1:6">
      <c r="A389">
        <v>1.4128</v>
      </c>
      <c r="B389">
        <v>1561.8</v>
      </c>
      <c r="C389">
        <f t="shared" si="24"/>
        <v>0.00474294983554924</v>
      </c>
      <c r="D389">
        <f t="shared" ref="D389:D452" si="27">$H$1*D388+(1-$H$1)*C388^2</f>
        <v>2.63167185118958e-5</v>
      </c>
      <c r="E389">
        <f t="shared" si="25"/>
        <v>0.000172068297611993</v>
      </c>
      <c r="F389">
        <f t="shared" si="26"/>
        <v>2.1243522810172e-8</v>
      </c>
    </row>
    <row r="390" spans="1:6">
      <c r="A390">
        <v>1.4154</v>
      </c>
      <c r="B390">
        <v>1548.71</v>
      </c>
      <c r="C390">
        <f t="shared" si="24"/>
        <v>-0.008416675898817</v>
      </c>
      <c r="D390">
        <f t="shared" si="27"/>
        <v>2.44061458272162e-5</v>
      </c>
      <c r="E390">
        <f t="shared" si="25"/>
        <v>0.000178440409124948</v>
      </c>
      <c r="F390">
        <f t="shared" si="26"/>
        <v>2.3726554269675e-8</v>
      </c>
    </row>
    <row r="391" spans="1:6">
      <c r="A391">
        <v>1.4154</v>
      </c>
      <c r="B391">
        <v>1538.53</v>
      </c>
      <c r="C391">
        <f t="shared" si="24"/>
        <v>-0.00659491124526203</v>
      </c>
      <c r="D391">
        <f t="shared" si="27"/>
        <v>4.76232895064716e-5</v>
      </c>
      <c r="E391">
        <f t="shared" si="25"/>
        <v>0.000179559431417109</v>
      </c>
      <c r="F391">
        <f t="shared" si="26"/>
        <v>1.74071455422637e-8</v>
      </c>
    </row>
    <row r="392" spans="1:6">
      <c r="A392">
        <v>1.4092</v>
      </c>
      <c r="B392">
        <v>1541.24</v>
      </c>
      <c r="C392">
        <f t="shared" si="24"/>
        <v>0.0017598721329448</v>
      </c>
      <c r="D392">
        <f t="shared" si="27"/>
        <v>4.55580719196776e-5</v>
      </c>
      <c r="E392">
        <f t="shared" si="25"/>
        <v>0.00018586816630675</v>
      </c>
      <c r="F392">
        <f t="shared" si="26"/>
        <v>1.96869225869093e-8</v>
      </c>
    </row>
    <row r="393" spans="1:6">
      <c r="A393">
        <v>1.4157</v>
      </c>
      <c r="B393">
        <v>1540.08</v>
      </c>
      <c r="C393">
        <f t="shared" si="24"/>
        <v>-0.000752924107070914</v>
      </c>
      <c r="D393">
        <f t="shared" si="27"/>
        <v>2.43276109219966e-5</v>
      </c>
      <c r="E393">
        <f t="shared" si="25"/>
        <v>0.00020042304547916</v>
      </c>
      <c r="F393">
        <f t="shared" si="26"/>
        <v>3.10096020718763e-8</v>
      </c>
    </row>
    <row r="394" spans="1:6">
      <c r="A394">
        <v>1.4228</v>
      </c>
      <c r="B394">
        <v>1500.63</v>
      </c>
      <c r="C394">
        <f t="shared" si="24"/>
        <v>-0.0259493431953797</v>
      </c>
      <c r="D394">
        <f t="shared" si="27"/>
        <v>1.24472528165026e-5</v>
      </c>
      <c r="E394">
        <f t="shared" si="25"/>
        <v>0.00021699366427623</v>
      </c>
      <c r="F394">
        <f t="shared" si="26"/>
        <v>4.18392344410521e-8</v>
      </c>
    </row>
    <row r="395" spans="1:6">
      <c r="A395">
        <v>1.4168</v>
      </c>
      <c r="B395">
        <v>1506.33</v>
      </c>
      <c r="C395">
        <f t="shared" si="24"/>
        <v>0.00379120894677637</v>
      </c>
      <c r="D395">
        <f t="shared" si="27"/>
        <v>0.000342907832544051</v>
      </c>
      <c r="E395">
        <f t="shared" si="25"/>
        <v>0.00020760415169139</v>
      </c>
      <c r="F395">
        <f t="shared" si="26"/>
        <v>1.83070860522786e-8</v>
      </c>
    </row>
    <row r="396" spans="1:6">
      <c r="A396">
        <v>1.4216</v>
      </c>
      <c r="B396">
        <v>1519.59</v>
      </c>
      <c r="C396">
        <f t="shared" si="24"/>
        <v>0.00876433275092566</v>
      </c>
      <c r="D396">
        <f t="shared" si="27"/>
        <v>0.000178640548911084</v>
      </c>
      <c r="E396">
        <f t="shared" si="25"/>
        <v>0.000241541846034346</v>
      </c>
      <c r="F396">
        <f t="shared" si="26"/>
        <v>3.95657317978885e-9</v>
      </c>
    </row>
    <row r="397" spans="1:6">
      <c r="A397">
        <v>1.4165</v>
      </c>
      <c r="B397">
        <v>1515.88</v>
      </c>
      <c r="C397">
        <f t="shared" si="24"/>
        <v>-0.00244443321617336</v>
      </c>
      <c r="D397">
        <f t="shared" si="27"/>
        <v>0.000127727038740016</v>
      </c>
      <c r="E397">
        <f t="shared" si="25"/>
        <v>0.000237733114075497</v>
      </c>
      <c r="F397">
        <f t="shared" si="26"/>
        <v>1.21013366107156e-8</v>
      </c>
    </row>
    <row r="398" spans="1:6">
      <c r="A398">
        <v>1.4208</v>
      </c>
      <c r="B398">
        <v>1514.4</v>
      </c>
      <c r="C398">
        <f t="shared" si="24"/>
        <v>-0.000976807501405077</v>
      </c>
      <c r="D398">
        <f t="shared" si="27"/>
        <v>6.68511462441738e-5</v>
      </c>
      <c r="E398">
        <f t="shared" si="25"/>
        <v>0.000240776605786698</v>
      </c>
      <c r="F398">
        <f t="shared" si="26"/>
        <v>3.02500654770782e-8</v>
      </c>
    </row>
    <row r="399" spans="1:6">
      <c r="A399">
        <v>1.4291</v>
      </c>
      <c r="B399">
        <v>1535.28</v>
      </c>
      <c r="C399">
        <f t="shared" si="24"/>
        <v>0.0136934539148787</v>
      </c>
      <c r="D399">
        <f t="shared" si="27"/>
        <v>3.39026495694875e-5</v>
      </c>
      <c r="E399">
        <f t="shared" si="25"/>
        <v>0.000241744186191545</v>
      </c>
      <c r="F399">
        <f t="shared" si="26"/>
        <v>4.31981043454181e-8</v>
      </c>
    </row>
    <row r="400" spans="1:6">
      <c r="A400">
        <v>1.4263</v>
      </c>
      <c r="B400">
        <v>1540.98</v>
      </c>
      <c r="C400">
        <f t="shared" si="24"/>
        <v>0.00370580284056704</v>
      </c>
      <c r="D400">
        <f t="shared" si="27"/>
        <v>0.000110706664844197</v>
      </c>
      <c r="E400">
        <f t="shared" si="25"/>
        <v>0.00023358278113326</v>
      </c>
      <c r="F400">
        <f t="shared" si="26"/>
        <v>1.50985399542834e-8</v>
      </c>
    </row>
    <row r="401" spans="1:6">
      <c r="A401">
        <v>1.4138</v>
      </c>
      <c r="B401">
        <v>1531.02</v>
      </c>
      <c r="C401">
        <f t="shared" si="24"/>
        <v>-0.00648439772091739</v>
      </c>
      <c r="D401">
        <f t="shared" si="27"/>
        <v>6.2219819768676e-5</v>
      </c>
      <c r="E401">
        <f t="shared" si="25"/>
        <v>0.000243618050546646</v>
      </c>
      <c r="F401">
        <f t="shared" si="26"/>
        <v>3.29053181293776e-8</v>
      </c>
    </row>
    <row r="402" spans="1:6">
      <c r="A402">
        <v>1.4248</v>
      </c>
      <c r="B402">
        <v>1549.38</v>
      </c>
      <c r="C402">
        <f t="shared" si="24"/>
        <v>0.0119206709623109</v>
      </c>
      <c r="D402">
        <f t="shared" si="27"/>
        <v>5.21336167858573e-5</v>
      </c>
      <c r="E402">
        <f t="shared" si="25"/>
        <v>0.000252578393062638</v>
      </c>
      <c r="F402">
        <f t="shared" si="26"/>
        <v>4.01781083366486e-8</v>
      </c>
    </row>
    <row r="403" spans="1:6">
      <c r="A403">
        <v>1.4237</v>
      </c>
      <c r="B403">
        <v>1508.44</v>
      </c>
      <c r="C403">
        <f t="shared" si="24"/>
        <v>-0.0267788466944079</v>
      </c>
      <c r="D403">
        <f t="shared" si="27"/>
        <v>9.71180064887698e-5</v>
      </c>
      <c r="E403">
        <f t="shared" si="25"/>
        <v>0.000246075115004177</v>
      </c>
      <c r="F403">
        <f t="shared" si="26"/>
        <v>2.21882201772709e-8</v>
      </c>
    </row>
    <row r="404" spans="1:6">
      <c r="A404">
        <v>1.4299</v>
      </c>
      <c r="B404">
        <v>1509.65</v>
      </c>
      <c r="C404">
        <f t="shared" si="24"/>
        <v>0.000801831664946407</v>
      </c>
      <c r="D404">
        <f t="shared" si="27"/>
        <v>0.000407112318385685</v>
      </c>
      <c r="E404">
        <f t="shared" si="25"/>
        <v>0.000220911645159694</v>
      </c>
      <c r="F404">
        <f t="shared" si="26"/>
        <v>3.46706907098125e-8</v>
      </c>
    </row>
    <row r="405" spans="1:6">
      <c r="A405">
        <v>1.439</v>
      </c>
      <c r="B405">
        <v>1502.17</v>
      </c>
      <c r="C405">
        <f t="shared" si="24"/>
        <v>-0.00496710651962301</v>
      </c>
      <c r="D405">
        <f t="shared" si="27"/>
        <v>0.000203877626202298</v>
      </c>
      <c r="E405">
        <f t="shared" si="25"/>
        <v>0.000246423814414615</v>
      </c>
      <c r="F405">
        <f t="shared" si="26"/>
        <v>1.81017813139788e-9</v>
      </c>
    </row>
    <row r="406" spans="1:6">
      <c r="A406">
        <v>1.4405</v>
      </c>
      <c r="B406">
        <v>1520.27</v>
      </c>
      <c r="C406">
        <f t="shared" si="24"/>
        <v>0.0119772213017801</v>
      </c>
      <c r="D406">
        <f t="shared" si="27"/>
        <v>0.00011427488668979</v>
      </c>
      <c r="E406">
        <f t="shared" si="25"/>
        <v>0.000247431253755968</v>
      </c>
      <c r="F406">
        <f t="shared" si="26"/>
        <v>1.77306180902628e-8</v>
      </c>
    </row>
    <row r="407" spans="1:6">
      <c r="A407">
        <v>1.4424</v>
      </c>
      <c r="B407">
        <v>1475.62</v>
      </c>
      <c r="C407">
        <f t="shared" si="24"/>
        <v>-0.0298097102053598</v>
      </c>
      <c r="D407">
        <f t="shared" si="27"/>
        <v>0.000128864358400802</v>
      </c>
      <c r="E407">
        <f t="shared" si="25"/>
        <v>0.00024123009837268</v>
      </c>
      <c r="F407">
        <f t="shared" si="26"/>
        <v>1.26260595194276e-8</v>
      </c>
    </row>
    <row r="408" spans="1:6">
      <c r="A408">
        <v>1.4468</v>
      </c>
      <c r="B408">
        <v>1474.77</v>
      </c>
      <c r="C408">
        <f t="shared" si="24"/>
        <v>-0.000576195027448366</v>
      </c>
      <c r="D408">
        <f t="shared" si="27"/>
        <v>0.000508741590464167</v>
      </c>
      <c r="E408">
        <f t="shared" si="25"/>
        <v>0.000213997232303103</v>
      </c>
      <c r="F408">
        <f t="shared" si="26"/>
        <v>8.68742366677778e-8</v>
      </c>
    </row>
    <row r="409" spans="1:6">
      <c r="A409">
        <v>1.4435</v>
      </c>
      <c r="B409">
        <v>1453.7</v>
      </c>
      <c r="C409">
        <f t="shared" si="24"/>
        <v>-0.0143900149795612</v>
      </c>
      <c r="D409">
        <f t="shared" si="27"/>
        <v>0.000254536795586912</v>
      </c>
      <c r="E409">
        <f t="shared" si="25"/>
        <v>0.000222587030870973</v>
      </c>
      <c r="F409">
        <f t="shared" si="26"/>
        <v>1.02078746540387e-9</v>
      </c>
    </row>
    <row r="410" spans="1:6">
      <c r="A410">
        <v>1.4481</v>
      </c>
      <c r="B410">
        <v>1439.18</v>
      </c>
      <c r="C410">
        <f t="shared" si="24"/>
        <v>-0.010038523501742</v>
      </c>
      <c r="D410">
        <f t="shared" si="27"/>
        <v>0.000230804663349454</v>
      </c>
      <c r="E410">
        <f t="shared" si="25"/>
        <v>0.000216471853987928</v>
      </c>
      <c r="F410">
        <f t="shared" si="26"/>
        <v>2.05429424193852e-10</v>
      </c>
    </row>
    <row r="411" spans="1:6">
      <c r="A411">
        <v>1.4469</v>
      </c>
      <c r="B411">
        <v>1481.05</v>
      </c>
      <c r="C411">
        <f t="shared" si="24"/>
        <v>0.0286777887396886</v>
      </c>
      <c r="D411">
        <f t="shared" si="27"/>
        <v>0.00016578830872224</v>
      </c>
      <c r="E411">
        <f t="shared" si="25"/>
        <v>0.000212375830564567</v>
      </c>
      <c r="F411">
        <f t="shared" si="26"/>
        <v>2.17039719140932e-9</v>
      </c>
    </row>
    <row r="412" spans="1:6">
      <c r="A412">
        <v>1.4555</v>
      </c>
      <c r="B412">
        <v>1470.58</v>
      </c>
      <c r="C412">
        <f t="shared" si="24"/>
        <v>-0.00709441489178435</v>
      </c>
      <c r="D412">
        <f t="shared" si="27"/>
        <v>0.000494101937860225</v>
      </c>
      <c r="E412">
        <f t="shared" si="25"/>
        <v>0.000180263872500005</v>
      </c>
      <c r="F412">
        <f t="shared" si="26"/>
        <v>9.84943312690461e-8</v>
      </c>
    </row>
    <row r="413" spans="1:6">
      <c r="A413">
        <v>1.4667</v>
      </c>
      <c r="B413">
        <v>1451.15</v>
      </c>
      <c r="C413">
        <f t="shared" si="24"/>
        <v>-0.0133005352558935</v>
      </c>
      <c r="D413">
        <f t="shared" si="27"/>
        <v>0.000272216330258498</v>
      </c>
      <c r="E413">
        <f t="shared" si="25"/>
        <v>0.000189359388024191</v>
      </c>
      <c r="F413">
        <f t="shared" si="26"/>
        <v>6.86527287641937e-9</v>
      </c>
    </row>
    <row r="414" spans="1:6">
      <c r="A414">
        <v>1.4691</v>
      </c>
      <c r="B414">
        <v>1458.74</v>
      </c>
      <c r="C414">
        <f t="shared" si="24"/>
        <v>0.00521670387048772</v>
      </c>
      <c r="D414">
        <f t="shared" si="27"/>
        <v>0.000224560284175882</v>
      </c>
      <c r="E414">
        <f t="shared" si="25"/>
        <v>0.000183553892605515</v>
      </c>
      <c r="F414">
        <f t="shared" si="26"/>
        <v>1.68152414962229e-9</v>
      </c>
    </row>
    <row r="415" spans="1:6">
      <c r="A415">
        <v>1.4665</v>
      </c>
      <c r="B415">
        <v>1433.27</v>
      </c>
      <c r="C415">
        <f t="shared" si="24"/>
        <v>-0.0176145024022354</v>
      </c>
      <c r="D415">
        <f t="shared" si="27"/>
        <v>0.000125887141724122</v>
      </c>
      <c r="E415">
        <f t="shared" si="25"/>
        <v>0.000182878526416265</v>
      </c>
      <c r="F415">
        <f t="shared" si="26"/>
        <v>3.24801792912789e-9</v>
      </c>
    </row>
    <row r="416" spans="1:6">
      <c r="A416">
        <v>1.4598</v>
      </c>
      <c r="B416">
        <v>1439.7</v>
      </c>
      <c r="C416">
        <f t="shared" si="24"/>
        <v>0.00447621154150922</v>
      </c>
      <c r="D416">
        <f t="shared" si="27"/>
        <v>0.000218078918301239</v>
      </c>
      <c r="E416">
        <f t="shared" si="25"/>
        <v>0.000178467449331798</v>
      </c>
      <c r="F416">
        <f t="shared" si="26"/>
        <v>1.569068473917e-9</v>
      </c>
    </row>
    <row r="417" spans="1:6">
      <c r="A417">
        <v>1.467</v>
      </c>
      <c r="B417">
        <v>1416.77</v>
      </c>
      <c r="C417">
        <f t="shared" si="24"/>
        <v>-0.0160551257655644</v>
      </c>
      <c r="D417">
        <f t="shared" si="27"/>
        <v>0.00011905769403279</v>
      </c>
      <c r="E417">
        <f t="shared" si="25"/>
        <v>0.000178013163715293</v>
      </c>
      <c r="F417">
        <f t="shared" si="26"/>
        <v>3.47574740548455e-9</v>
      </c>
    </row>
    <row r="418" spans="1:6">
      <c r="A418">
        <v>1.4639</v>
      </c>
      <c r="B418">
        <v>1440.7</v>
      </c>
      <c r="C418">
        <f t="shared" si="24"/>
        <v>0.0167494738006821</v>
      </c>
      <c r="D418">
        <f t="shared" si="27"/>
        <v>0.00018841237869044</v>
      </c>
      <c r="E418">
        <f t="shared" si="25"/>
        <v>0.000168712583918454</v>
      </c>
      <c r="F418">
        <f t="shared" si="26"/>
        <v>3.88081914058379e-10</v>
      </c>
    </row>
    <row r="419" spans="1:6">
      <c r="A419">
        <v>1.4652</v>
      </c>
      <c r="B419">
        <v>1407.22</v>
      </c>
      <c r="C419">
        <f t="shared" si="24"/>
        <v>-0.02351297962427</v>
      </c>
      <c r="D419">
        <f t="shared" si="27"/>
        <v>0.000234478625645088</v>
      </c>
      <c r="E419">
        <f t="shared" si="25"/>
        <v>0.000167888150306501</v>
      </c>
      <c r="F419">
        <f t="shared" si="26"/>
        <v>4.43429140581899e-9</v>
      </c>
    </row>
    <row r="420" spans="1:6">
      <c r="A420">
        <v>1.4658</v>
      </c>
      <c r="B420">
        <v>1428.23</v>
      </c>
      <c r="C420">
        <f t="shared" si="24"/>
        <v>0.0148197884126606</v>
      </c>
      <c r="D420">
        <f t="shared" si="27"/>
        <v>0.000393669418228212</v>
      </c>
      <c r="E420">
        <f t="shared" si="25"/>
        <v>0.00014459951102474</v>
      </c>
      <c r="F420">
        <f t="shared" si="26"/>
        <v>6.20358186743463e-8</v>
      </c>
    </row>
    <row r="421" spans="1:6">
      <c r="A421">
        <v>1.4787</v>
      </c>
      <c r="B421">
        <v>1469.02</v>
      </c>
      <c r="C421">
        <f t="shared" si="24"/>
        <v>0.0281595964292602</v>
      </c>
      <c r="D421">
        <f t="shared" si="27"/>
        <v>0.000306647773412121</v>
      </c>
      <c r="E421">
        <f t="shared" si="25"/>
        <v>0.000161525926874189</v>
      </c>
      <c r="F421">
        <f t="shared" si="26"/>
        <v>2.1060350342579e-8</v>
      </c>
    </row>
    <row r="422" spans="1:6">
      <c r="A422">
        <v>1.4829</v>
      </c>
      <c r="B422">
        <v>1469.72</v>
      </c>
      <c r="C422">
        <f t="shared" si="24"/>
        <v>0.000476394654334106</v>
      </c>
      <c r="D422">
        <f t="shared" si="27"/>
        <v>0.000549805322235462</v>
      </c>
      <c r="E422">
        <f t="shared" si="25"/>
        <v>0.000128367401661425</v>
      </c>
      <c r="F422">
        <f t="shared" si="26"/>
        <v>1.77609920897769e-7</v>
      </c>
    </row>
    <row r="423" spans="1:6">
      <c r="A423">
        <v>1.4829</v>
      </c>
      <c r="B423">
        <v>1481.14</v>
      </c>
      <c r="C423">
        <f t="shared" si="24"/>
        <v>0.00774015508312408</v>
      </c>
      <c r="D423">
        <f t="shared" si="27"/>
        <v>0.00027501613705107</v>
      </c>
      <c r="E423">
        <f t="shared" si="25"/>
        <v>0.000139385094109101</v>
      </c>
      <c r="F423">
        <f t="shared" si="26"/>
        <v>1.83957798095264e-8</v>
      </c>
    </row>
    <row r="424" spans="1:6">
      <c r="A424">
        <v>1.4825</v>
      </c>
      <c r="B424">
        <v>1472.42</v>
      </c>
      <c r="C424">
        <f t="shared" si="24"/>
        <v>-0.00590475584450509</v>
      </c>
      <c r="D424">
        <f t="shared" si="27"/>
        <v>0.000167463068880941</v>
      </c>
      <c r="E424">
        <f t="shared" si="25"/>
        <v>0.000145253177989187</v>
      </c>
      <c r="F424">
        <f t="shared" si="26"/>
        <v>4.93279253423624e-10</v>
      </c>
    </row>
    <row r="425" spans="1:6">
      <c r="A425">
        <v>1.4862</v>
      </c>
      <c r="B425">
        <v>1462.79</v>
      </c>
      <c r="C425">
        <f t="shared" si="24"/>
        <v>-0.0065617346307115</v>
      </c>
      <c r="D425">
        <f t="shared" si="27"/>
        <v>0.000101164605232079</v>
      </c>
      <c r="E425">
        <f t="shared" si="25"/>
        <v>0.000148191191044233</v>
      </c>
      <c r="F425">
        <f t="shared" si="26"/>
        <v>2.21149977314786e-9</v>
      </c>
    </row>
    <row r="426" spans="1:6">
      <c r="A426">
        <v>1.4817</v>
      </c>
      <c r="B426">
        <v>1485.01</v>
      </c>
      <c r="C426">
        <f t="shared" si="24"/>
        <v>0.0150759351735408</v>
      </c>
      <c r="D426">
        <f t="shared" si="27"/>
        <v>7.21104832979788e-5</v>
      </c>
      <c r="E426">
        <f t="shared" si="25"/>
        <v>0.00015309616453618</v>
      </c>
      <c r="F426">
        <f t="shared" si="26"/>
        <v>6.5586805656155e-9</v>
      </c>
    </row>
    <row r="427" spans="1:6">
      <c r="A427">
        <v>1.475</v>
      </c>
      <c r="B427">
        <v>1507.34</v>
      </c>
      <c r="C427">
        <f t="shared" si="24"/>
        <v>0.0149250017609245</v>
      </c>
      <c r="D427">
        <f t="shared" si="27"/>
        <v>0.000149697152327392</v>
      </c>
      <c r="E427">
        <f t="shared" si="25"/>
        <v>0.000148086750774834</v>
      </c>
      <c r="F427">
        <f t="shared" si="26"/>
        <v>2.59339316047878e-12</v>
      </c>
    </row>
    <row r="428" spans="1:6">
      <c r="A428">
        <v>1.4766</v>
      </c>
      <c r="B428">
        <v>1504.66</v>
      </c>
      <c r="C428">
        <f t="shared" si="24"/>
        <v>-0.00177954894239748</v>
      </c>
      <c r="D428">
        <f t="shared" si="27"/>
        <v>0.000186226414945496</v>
      </c>
      <c r="E428">
        <f t="shared" si="25"/>
        <v>0.000156319433449356</v>
      </c>
      <c r="F428">
        <f t="shared" si="26"/>
        <v>8.94427542210419e-10</v>
      </c>
    </row>
    <row r="429" spans="1:6">
      <c r="A429">
        <v>1.4688</v>
      </c>
      <c r="B429">
        <v>1515.96</v>
      </c>
      <c r="C429">
        <f t="shared" si="24"/>
        <v>0.00748194259055877</v>
      </c>
      <c r="D429">
        <f t="shared" si="27"/>
        <v>9.46966046919418e-5</v>
      </c>
      <c r="E429">
        <f t="shared" si="25"/>
        <v>0.000156399924545309</v>
      </c>
      <c r="F429">
        <f t="shared" si="26"/>
        <v>3.80729968092698e-9</v>
      </c>
    </row>
    <row r="430" spans="1:6">
      <c r="A430">
        <v>1.4657</v>
      </c>
      <c r="B430">
        <v>1477.65</v>
      </c>
      <c r="C430">
        <f t="shared" si="24"/>
        <v>-0.0255959136601485</v>
      </c>
      <c r="D430">
        <f t="shared" si="27"/>
        <v>7.53380348101795e-5</v>
      </c>
      <c r="E430">
        <f t="shared" si="25"/>
        <v>0.00017651114702732</v>
      </c>
      <c r="F430">
        <f t="shared" si="26"/>
        <v>1.02359986357022e-8</v>
      </c>
    </row>
    <row r="431" spans="1:6">
      <c r="A431">
        <v>1.4759</v>
      </c>
      <c r="B431">
        <v>1486.59</v>
      </c>
      <c r="C431">
        <f t="shared" si="24"/>
        <v>0.00603191853972288</v>
      </c>
      <c r="D431">
        <f t="shared" si="27"/>
        <v>0.000365244415453978</v>
      </c>
      <c r="E431">
        <f t="shared" si="25"/>
        <v>0.000158907412492728</v>
      </c>
      <c r="F431">
        <f t="shared" si="26"/>
        <v>4.25749587910308e-8</v>
      </c>
    </row>
    <row r="432" spans="1:6">
      <c r="A432">
        <v>1.4666</v>
      </c>
      <c r="B432">
        <v>1488.41</v>
      </c>
      <c r="C432">
        <f t="shared" si="24"/>
        <v>0.00122352956440254</v>
      </c>
      <c r="D432">
        <f t="shared" si="27"/>
        <v>0.000200814228361915</v>
      </c>
      <c r="E432">
        <f t="shared" si="25"/>
        <v>0.00015621219481462</v>
      </c>
      <c r="F432">
        <f t="shared" si="26"/>
        <v>1.98934139655406e-9</v>
      </c>
    </row>
    <row r="433" spans="1:6">
      <c r="A433">
        <v>1.4638</v>
      </c>
      <c r="B433">
        <v>1467.95</v>
      </c>
      <c r="C433">
        <f t="shared" si="24"/>
        <v>-0.0138415664250197</v>
      </c>
      <c r="D433">
        <f t="shared" si="27"/>
        <v>0.000101155626478441</v>
      </c>
      <c r="E433">
        <f t="shared" si="25"/>
        <v>0.000181296836002591</v>
      </c>
      <c r="F433">
        <f t="shared" si="26"/>
        <v>6.42261346399372e-9</v>
      </c>
    </row>
    <row r="434" spans="1:6">
      <c r="A434">
        <v>1.4664</v>
      </c>
      <c r="B434">
        <v>1445.9</v>
      </c>
      <c r="C434">
        <f t="shared" si="24"/>
        <v>-0.0151349046148231</v>
      </c>
      <c r="D434">
        <f t="shared" si="27"/>
        <v>0.000146372293788337</v>
      </c>
      <c r="E434">
        <f t="shared" si="25"/>
        <v>0.000184554102870068</v>
      </c>
      <c r="F434">
        <f t="shared" si="26"/>
        <v>1.45785054475374e-9</v>
      </c>
    </row>
    <row r="435" spans="1:6">
      <c r="A435">
        <v>1.4714</v>
      </c>
      <c r="B435">
        <v>1454.98</v>
      </c>
      <c r="C435">
        <f t="shared" si="24"/>
        <v>0.00626018977257189</v>
      </c>
      <c r="D435">
        <f t="shared" si="27"/>
        <v>0.000187718815744065</v>
      </c>
      <c r="E435">
        <f t="shared" si="25"/>
        <v>0.000185410705170798</v>
      </c>
      <c r="F435">
        <f t="shared" si="26"/>
        <v>5.32737441842945e-12</v>
      </c>
    </row>
    <row r="436" spans="1:6">
      <c r="A436">
        <v>1.4702</v>
      </c>
      <c r="B436">
        <v>1453</v>
      </c>
      <c r="C436">
        <f t="shared" si="24"/>
        <v>-0.00136177023636956</v>
      </c>
      <c r="D436">
        <f t="shared" si="27"/>
        <v>0.000113454395866339</v>
      </c>
      <c r="E436">
        <f t="shared" si="25"/>
        <v>0.000198604550964247</v>
      </c>
      <c r="F436">
        <f t="shared" si="26"/>
        <v>7.25054891319768e-9</v>
      </c>
    </row>
    <row r="437" spans="1:6">
      <c r="A437">
        <v>1.4702</v>
      </c>
      <c r="B437">
        <v>1460.12</v>
      </c>
      <c r="C437">
        <f t="shared" si="24"/>
        <v>0.00488823953536181</v>
      </c>
      <c r="D437">
        <f t="shared" si="27"/>
        <v>5.76544070215007e-5</v>
      </c>
      <c r="E437">
        <f t="shared" si="25"/>
        <v>0.000201613314731828</v>
      </c>
      <c r="F437">
        <f t="shared" si="26"/>
        <v>2.07241671091506e-8</v>
      </c>
    </row>
    <row r="438" spans="1:6">
      <c r="A438">
        <v>1.4591</v>
      </c>
      <c r="B438">
        <v>1484.46</v>
      </c>
      <c r="C438">
        <f t="shared" si="24"/>
        <v>0.0165324456357842</v>
      </c>
      <c r="D438">
        <f t="shared" si="27"/>
        <v>4.07746463882875e-5</v>
      </c>
      <c r="E438">
        <f t="shared" si="25"/>
        <v>0.000199509473723188</v>
      </c>
      <c r="F438">
        <f t="shared" si="26"/>
        <v>2.51967454090407e-8</v>
      </c>
    </row>
    <row r="439" spans="1:6">
      <c r="A439">
        <v>1.4433</v>
      </c>
      <c r="B439">
        <v>1496.45</v>
      </c>
      <c r="C439">
        <f t="shared" si="24"/>
        <v>0.00804456670013823</v>
      </c>
      <c r="D439">
        <f t="shared" si="27"/>
        <v>0.000157048202544224</v>
      </c>
      <c r="E439">
        <f t="shared" si="25"/>
        <v>0.000199666037835555</v>
      </c>
      <c r="F439">
        <f t="shared" si="26"/>
        <v>1.81627988491904e-9</v>
      </c>
    </row>
    <row r="440" spans="1:6">
      <c r="A440">
        <v>1.4369</v>
      </c>
      <c r="B440">
        <v>1497.66</v>
      </c>
      <c r="C440">
        <f t="shared" si="24"/>
        <v>0.000808253581780089</v>
      </c>
      <c r="D440">
        <f t="shared" si="27"/>
        <v>0.000110881627968598</v>
      </c>
      <c r="E440">
        <f t="shared" si="25"/>
        <v>0.000203907123341489</v>
      </c>
      <c r="F440">
        <f t="shared" si="26"/>
        <v>8.65374278937177e-9</v>
      </c>
    </row>
    <row r="441" spans="1:6">
      <c r="A441">
        <v>1.4392</v>
      </c>
      <c r="B441">
        <v>1476.27</v>
      </c>
      <c r="C441">
        <f t="shared" si="24"/>
        <v>-0.0143852537627333</v>
      </c>
      <c r="D441">
        <f t="shared" si="27"/>
        <v>5.57674509105293e-5</v>
      </c>
      <c r="E441">
        <f t="shared" si="25"/>
        <v>0.000205672695341377</v>
      </c>
      <c r="F441">
        <f t="shared" si="26"/>
        <v>2.24715823078722e-8</v>
      </c>
    </row>
    <row r="442" spans="1:6">
      <c r="A442">
        <v>1.4344</v>
      </c>
      <c r="B442">
        <v>1478.49</v>
      </c>
      <c r="C442">
        <f t="shared" si="24"/>
        <v>0.00150266039727622</v>
      </c>
      <c r="D442">
        <f t="shared" si="27"/>
        <v>0.000131351488364381</v>
      </c>
      <c r="E442">
        <f t="shared" si="25"/>
        <v>0.000234655579958851</v>
      </c>
      <c r="F442">
        <f t="shared" si="26"/>
        <v>1.06717353401587e-8</v>
      </c>
    </row>
    <row r="443" spans="1:6">
      <c r="A443">
        <v>1.4353</v>
      </c>
      <c r="B443">
        <v>1468.36</v>
      </c>
      <c r="C443">
        <f t="shared" si="24"/>
        <v>-0.00687516494015524</v>
      </c>
      <c r="D443">
        <f t="shared" si="27"/>
        <v>6.68047383169616e-5</v>
      </c>
      <c r="E443">
        <f t="shared" si="25"/>
        <v>0.000233979891957579</v>
      </c>
      <c r="F443">
        <f t="shared" si="26"/>
        <v>2.7947531994764e-8</v>
      </c>
    </row>
    <row r="444" spans="1:6">
      <c r="A444">
        <v>1.4361</v>
      </c>
      <c r="B444">
        <v>1447.16</v>
      </c>
      <c r="C444">
        <f t="shared" si="24"/>
        <v>-0.0145431165985078</v>
      </c>
      <c r="D444">
        <f t="shared" si="27"/>
        <v>5.70363156356507e-5</v>
      </c>
      <c r="E444">
        <f t="shared" si="25"/>
        <v>0.00023914149692557</v>
      </c>
      <c r="F444">
        <f t="shared" si="26"/>
        <v>3.31622970526344e-8</v>
      </c>
    </row>
    <row r="445" spans="1:6">
      <c r="A445">
        <v>1.4409</v>
      </c>
      <c r="B445">
        <v>1447.16</v>
      </c>
      <c r="C445">
        <f t="shared" si="24"/>
        <v>0</v>
      </c>
      <c r="D445">
        <f t="shared" si="27"/>
        <v>0.000134269278016722</v>
      </c>
      <c r="E445">
        <f t="shared" si="25"/>
        <v>0.00023420813603806</v>
      </c>
      <c r="F445">
        <f t="shared" si="26"/>
        <v>9.98777534260918e-9</v>
      </c>
    </row>
    <row r="446" spans="1:6">
      <c r="A446">
        <v>1.45</v>
      </c>
      <c r="B446">
        <v>1411.63</v>
      </c>
      <c r="C446">
        <f t="shared" si="24"/>
        <v>-0.0248579500644866</v>
      </c>
      <c r="D446">
        <f t="shared" si="27"/>
        <v>6.7134639008361e-5</v>
      </c>
      <c r="E446">
        <f t="shared" si="25"/>
        <v>0.000237041961601594</v>
      </c>
      <c r="F446">
        <f t="shared" si="26"/>
        <v>2.88684982708009e-8</v>
      </c>
    </row>
    <row r="447" spans="1:6">
      <c r="A447">
        <v>1.4601</v>
      </c>
      <c r="B447">
        <v>1416.18</v>
      </c>
      <c r="C447">
        <f t="shared" si="24"/>
        <v>0.00321804076410252</v>
      </c>
      <c r="D447">
        <f t="shared" si="27"/>
        <v>0.000342526160208435</v>
      </c>
      <c r="E447">
        <f t="shared" si="25"/>
        <v>0.000220498967740803</v>
      </c>
      <c r="F447">
        <f t="shared" si="26"/>
        <v>1.48906357015325e-8</v>
      </c>
    </row>
    <row r="448" spans="1:6">
      <c r="A448">
        <v>1.4718</v>
      </c>
      <c r="B448">
        <v>1390.19</v>
      </c>
      <c r="C448">
        <f t="shared" si="24"/>
        <v>-0.0185226773879385</v>
      </c>
      <c r="D448">
        <f t="shared" si="27"/>
        <v>0.00017644097328393</v>
      </c>
      <c r="E448">
        <f t="shared" si="25"/>
        <v>0.000228665812773377</v>
      </c>
      <c r="F448">
        <f t="shared" si="26"/>
        <v>2.72743385969844e-9</v>
      </c>
    </row>
    <row r="449" spans="1:6">
      <c r="A449">
        <v>1.4603</v>
      </c>
      <c r="B449">
        <v>1409.13</v>
      </c>
      <c r="C449">
        <f t="shared" si="24"/>
        <v>0.0135320642287469</v>
      </c>
      <c r="D449">
        <f t="shared" si="27"/>
        <v>0.000259765275450789</v>
      </c>
      <c r="E449">
        <f t="shared" si="25"/>
        <v>0.000222749495934348</v>
      </c>
      <c r="F449">
        <f t="shared" si="26"/>
        <v>1.37016793320982e-9</v>
      </c>
    </row>
    <row r="450" spans="1:6">
      <c r="A450">
        <v>1.4738</v>
      </c>
      <c r="B450">
        <v>1420.33</v>
      </c>
      <c r="C450">
        <f t="shared" si="24"/>
        <v>0.00791674630246481</v>
      </c>
      <c r="D450">
        <f t="shared" si="27"/>
        <v>0.00022144101887086</v>
      </c>
      <c r="E450">
        <f t="shared" si="25"/>
        <v>0.000214026072811421</v>
      </c>
      <c r="F450">
        <f t="shared" si="26"/>
        <v>5.49814250643981e-11</v>
      </c>
    </row>
    <row r="451" spans="1:6">
      <c r="A451">
        <v>1.4736</v>
      </c>
      <c r="B451">
        <v>1401.02</v>
      </c>
      <c r="C451">
        <f t="shared" si="24"/>
        <v>-0.0136886962095155</v>
      </c>
      <c r="D451">
        <f t="shared" si="27"/>
        <v>0.000142057945444225</v>
      </c>
      <c r="E451">
        <f t="shared" si="25"/>
        <v>0.000210269032220444</v>
      </c>
      <c r="F451">
        <f t="shared" si="26"/>
        <v>4.65275235919281e-9</v>
      </c>
    </row>
    <row r="452" spans="1:6">
      <c r="A452">
        <v>1.4786</v>
      </c>
      <c r="B452">
        <v>1416.25</v>
      </c>
      <c r="C452">
        <f t="shared" ref="C452:C515" si="28">LN(B452/B451)</f>
        <v>0.0108119905896157</v>
      </c>
      <c r="D452">
        <f t="shared" si="27"/>
        <v>0.000164719174680315</v>
      </c>
      <c r="E452">
        <f t="shared" ref="E452:E515" si="29">_xlfn.VAR.S(C452:C477)</f>
        <v>0.000208287443195941</v>
      </c>
      <c r="F452">
        <f t="shared" ref="F452:F515" si="30">(D452-E452)^2</f>
        <v>1.89819402144974e-9</v>
      </c>
    </row>
    <row r="453" spans="1:6">
      <c r="A453">
        <v>1.4684</v>
      </c>
      <c r="B453">
        <v>1380.95</v>
      </c>
      <c r="C453">
        <f t="shared" si="28"/>
        <v>-0.0252408652364453</v>
      </c>
      <c r="D453">
        <f t="shared" ref="D453:D516" si="31">$H$1*D452+(1-$H$1)*C452^2</f>
        <v>0.000140809157595127</v>
      </c>
      <c r="E453">
        <f t="shared" si="29"/>
        <v>0.000207280640456839</v>
      </c>
      <c r="F453">
        <f t="shared" si="30"/>
        <v>4.41845803383495e-9</v>
      </c>
    </row>
    <row r="454" spans="1:6">
      <c r="A454">
        <v>1.4717</v>
      </c>
      <c r="B454">
        <v>1373.2</v>
      </c>
      <c r="C454">
        <f t="shared" si="28"/>
        <v>-0.00562788552223375</v>
      </c>
      <c r="D454">
        <f t="shared" si="31"/>
        <v>0.00038895521773976</v>
      </c>
      <c r="E454">
        <f t="shared" si="29"/>
        <v>0.00018801954589944</v>
      </c>
      <c r="F454">
        <f t="shared" si="30"/>
        <v>4.03751442179206e-8</v>
      </c>
    </row>
    <row r="455" spans="1:6">
      <c r="A455">
        <v>1.4663</v>
      </c>
      <c r="B455">
        <v>1333.25</v>
      </c>
      <c r="C455">
        <f t="shared" si="28"/>
        <v>-0.0295242121028255</v>
      </c>
      <c r="D455">
        <f t="shared" si="31"/>
        <v>0.000210314156595564</v>
      </c>
      <c r="E455">
        <f t="shared" si="29"/>
        <v>0.000194916586503285</v>
      </c>
      <c r="F455">
        <f t="shared" si="30"/>
        <v>2.3708516474664e-10</v>
      </c>
    </row>
    <row r="456" spans="1:6">
      <c r="A456">
        <v>1.474</v>
      </c>
      <c r="B456">
        <v>1325.19</v>
      </c>
      <c r="C456">
        <f t="shared" si="28"/>
        <v>-0.00606372511422998</v>
      </c>
      <c r="D456">
        <f t="shared" si="31"/>
        <v>0.000540996628444096</v>
      </c>
      <c r="E456">
        <f t="shared" si="29"/>
        <v>0.000160024416759367</v>
      </c>
      <c r="F456">
        <f t="shared" si="30"/>
        <v>1.45139826075954e-7</v>
      </c>
    </row>
    <row r="457" spans="1:6">
      <c r="A457">
        <v>1.4787</v>
      </c>
      <c r="B457">
        <v>1310.5</v>
      </c>
      <c r="C457">
        <f t="shared" si="28"/>
        <v>-0.0111471016030206</v>
      </c>
      <c r="D457">
        <f t="shared" si="31"/>
        <v>0.00028888269535252</v>
      </c>
      <c r="E457">
        <f t="shared" si="29"/>
        <v>0.00015798654564391</v>
      </c>
      <c r="F457">
        <f t="shared" si="30"/>
        <v>1.71338020085389e-8</v>
      </c>
    </row>
    <row r="458" spans="1:6">
      <c r="A458">
        <v>1.4877</v>
      </c>
      <c r="B458">
        <v>1338.6</v>
      </c>
      <c r="C458">
        <f t="shared" si="28"/>
        <v>0.0212155479030807</v>
      </c>
      <c r="D458">
        <f t="shared" si="31"/>
        <v>0.000206570284750292</v>
      </c>
      <c r="E458">
        <f t="shared" si="29"/>
        <v>0.000155966086492886</v>
      </c>
      <c r="F458">
        <f t="shared" si="30"/>
        <v>2.56078488127486e-9</v>
      </c>
    </row>
    <row r="459" spans="1:6">
      <c r="A459">
        <v>1.4842</v>
      </c>
      <c r="B459">
        <v>1352.07</v>
      </c>
      <c r="C459">
        <f t="shared" si="28"/>
        <v>0.0100124597440099</v>
      </c>
      <c r="D459">
        <f t="shared" si="31"/>
        <v>0.000328334878789102</v>
      </c>
      <c r="E459">
        <f t="shared" si="29"/>
        <v>0.000170882685570608</v>
      </c>
      <c r="F459">
        <f t="shared" si="30"/>
        <v>2.4791193149314e-8</v>
      </c>
    </row>
    <row r="460" spans="1:6">
      <c r="A460">
        <v>1.4643</v>
      </c>
      <c r="B460">
        <v>1330.61</v>
      </c>
      <c r="C460">
        <f t="shared" si="28"/>
        <v>-0.0159992677244216</v>
      </c>
      <c r="D460">
        <f t="shared" si="31"/>
        <v>0.00021429211445726</v>
      </c>
      <c r="E460">
        <f t="shared" si="29"/>
        <v>0.000166571686149819</v>
      </c>
      <c r="F460">
        <f t="shared" si="30"/>
        <v>2.27723927784566e-9</v>
      </c>
    </row>
    <row r="461" spans="1:6">
      <c r="A461">
        <v>1.469</v>
      </c>
      <c r="B461">
        <v>1353.96</v>
      </c>
      <c r="C461">
        <f t="shared" si="28"/>
        <v>0.0173961482522251</v>
      </c>
      <c r="D461">
        <f t="shared" si="31"/>
        <v>0.00023513434108749</v>
      </c>
      <c r="E461">
        <f t="shared" si="29"/>
        <v>0.000157164008783559</v>
      </c>
      <c r="F461">
        <f t="shared" si="30"/>
        <v>6.07937271958537e-9</v>
      </c>
    </row>
    <row r="462" spans="1:6">
      <c r="A462">
        <v>1.4616</v>
      </c>
      <c r="B462">
        <v>1362.3</v>
      </c>
      <c r="C462">
        <f t="shared" si="28"/>
        <v>0.00614081583365995</v>
      </c>
      <c r="D462">
        <f t="shared" si="31"/>
        <v>0.000268880157550442</v>
      </c>
      <c r="E462">
        <f t="shared" si="29"/>
        <v>0.000145814152292069</v>
      </c>
      <c r="F462">
        <f t="shared" si="30"/>
        <v>1.51452416502538e-8</v>
      </c>
    </row>
    <row r="463" spans="1:6">
      <c r="A463">
        <v>1.4609</v>
      </c>
      <c r="B463">
        <v>1355.81</v>
      </c>
      <c r="C463">
        <f t="shared" si="28"/>
        <v>-0.00477538608321774</v>
      </c>
      <c r="D463">
        <f t="shared" si="31"/>
        <v>0.000153294888326685</v>
      </c>
      <c r="E463">
        <f t="shared" si="29"/>
        <v>0.00016156742232107</v>
      </c>
      <c r="F463">
        <f t="shared" si="30"/>
        <v>6.84348186882516e-11</v>
      </c>
    </row>
    <row r="464" spans="1:6">
      <c r="A464">
        <v>1.4574</v>
      </c>
      <c r="B464">
        <v>1378.55</v>
      </c>
      <c r="C464">
        <f t="shared" si="28"/>
        <v>0.0166331604266603</v>
      </c>
      <c r="D464">
        <f t="shared" si="31"/>
        <v>8.80496002852375e-5</v>
      </c>
      <c r="E464">
        <f t="shared" si="29"/>
        <v>0.000162996850985487</v>
      </c>
      <c r="F464">
        <f t="shared" si="30"/>
        <v>5.617090387526e-9</v>
      </c>
    </row>
    <row r="465" spans="1:6">
      <c r="A465">
        <v>1.4737</v>
      </c>
      <c r="B465">
        <v>1395.42</v>
      </c>
      <c r="C465">
        <f t="shared" si="28"/>
        <v>0.012163223094762</v>
      </c>
      <c r="D465">
        <f t="shared" si="31"/>
        <v>0.000182355813032128</v>
      </c>
      <c r="E465">
        <f t="shared" si="29"/>
        <v>0.000155374506492414</v>
      </c>
      <c r="F465">
        <f t="shared" si="30"/>
        <v>7.27990902589996e-10</v>
      </c>
    </row>
    <row r="466" spans="1:6">
      <c r="A466">
        <v>1.4673</v>
      </c>
      <c r="B466">
        <v>1380.82</v>
      </c>
      <c r="C466">
        <f t="shared" si="28"/>
        <v>-0.0105179196290589</v>
      </c>
      <c r="D466">
        <f t="shared" si="31"/>
        <v>0.00016514990454254</v>
      </c>
      <c r="E466">
        <f t="shared" si="29"/>
        <v>0.000207646182262838</v>
      </c>
      <c r="F466">
        <f t="shared" si="30"/>
        <v>1.80593362008075e-9</v>
      </c>
    </row>
    <row r="467" spans="1:6">
      <c r="A467">
        <v>1.4789</v>
      </c>
      <c r="B467">
        <v>1336.64</v>
      </c>
      <c r="C467">
        <f t="shared" si="28"/>
        <v>-0.0325185232723501</v>
      </c>
      <c r="D467">
        <f t="shared" si="31"/>
        <v>0.000137888268932941</v>
      </c>
      <c r="E467">
        <f t="shared" si="29"/>
        <v>0.000206734975503338</v>
      </c>
      <c r="F467">
        <f t="shared" si="30"/>
        <v>4.73986900559028e-9</v>
      </c>
    </row>
    <row r="468" spans="1:6">
      <c r="A468">
        <v>1.4767</v>
      </c>
      <c r="B468">
        <v>1326.45</v>
      </c>
      <c r="C468">
        <f t="shared" si="28"/>
        <v>-0.00765280161895677</v>
      </c>
      <c r="D468">
        <f t="shared" si="31"/>
        <v>0.000597671312373658</v>
      </c>
      <c r="E468">
        <f t="shared" si="29"/>
        <v>0.000169509360042194</v>
      </c>
      <c r="F468">
        <f t="shared" si="30"/>
        <v>1.83322657424291e-7</v>
      </c>
    </row>
    <row r="469" spans="1:6">
      <c r="A469">
        <v>1.4782</v>
      </c>
      <c r="B469">
        <v>1336.91</v>
      </c>
      <c r="C469">
        <f t="shared" si="28"/>
        <v>0.00785478026227216</v>
      </c>
      <c r="D469">
        <f t="shared" si="31"/>
        <v>0.000328118342496383</v>
      </c>
      <c r="E469">
        <f t="shared" si="29"/>
        <v>0.000183880986845159</v>
      </c>
      <c r="F469">
        <f t="shared" si="30"/>
        <v>2.08044147652575e-8</v>
      </c>
    </row>
    <row r="470" spans="1:6">
      <c r="A470">
        <v>1.4841</v>
      </c>
      <c r="B470">
        <v>1331.29</v>
      </c>
      <c r="C470">
        <f t="shared" si="28"/>
        <v>-0.00421258399743439</v>
      </c>
      <c r="D470">
        <f t="shared" si="31"/>
        <v>0.000194907957732482</v>
      </c>
      <c r="E470">
        <f t="shared" si="29"/>
        <v>0.000182695587672645</v>
      </c>
      <c r="F470">
        <f t="shared" si="30"/>
        <v>1.49141982478393e-10</v>
      </c>
    </row>
    <row r="471" spans="1:6">
      <c r="A471">
        <v>1.4851</v>
      </c>
      <c r="B471">
        <v>1339.13</v>
      </c>
      <c r="C471">
        <f t="shared" si="28"/>
        <v>0.00587175240244734</v>
      </c>
      <c r="D471">
        <f t="shared" si="31"/>
        <v>0.000106326910833961</v>
      </c>
      <c r="E471">
        <f t="shared" si="29"/>
        <v>0.000254269523864869</v>
      </c>
      <c r="F471">
        <f t="shared" si="30"/>
        <v>2.1887016750413e-8</v>
      </c>
    </row>
    <row r="472" spans="1:6">
      <c r="A472">
        <v>1.4832</v>
      </c>
      <c r="B472">
        <v>1348.86</v>
      </c>
      <c r="C472">
        <f t="shared" si="28"/>
        <v>0.0072396418868341</v>
      </c>
      <c r="D472">
        <f t="shared" si="31"/>
        <v>7.04021935548035e-5</v>
      </c>
      <c r="E472">
        <f t="shared" si="29"/>
        <v>0.000275605306295394</v>
      </c>
      <c r="F472">
        <f t="shared" si="30"/>
        <v>4.21083174784276e-8</v>
      </c>
    </row>
    <row r="473" spans="1:6">
      <c r="A473">
        <v>1.4638</v>
      </c>
      <c r="B473">
        <v>1367.21</v>
      </c>
      <c r="C473">
        <f t="shared" si="28"/>
        <v>0.0135123757495009</v>
      </c>
      <c r="D473">
        <f t="shared" si="31"/>
        <v>6.14073041022032e-5</v>
      </c>
      <c r="E473">
        <f t="shared" si="29"/>
        <v>0.000297050084417691</v>
      </c>
      <c r="F473">
        <f t="shared" si="30"/>
        <v>5.55275199148133e-8</v>
      </c>
    </row>
    <row r="474" spans="1:6">
      <c r="A474">
        <v>1.4647</v>
      </c>
      <c r="B474">
        <v>1348.86</v>
      </c>
      <c r="C474">
        <f t="shared" si="28"/>
        <v>-0.0135123757495009</v>
      </c>
      <c r="D474">
        <f t="shared" si="31"/>
        <v>0.000121995801248952</v>
      </c>
      <c r="E474">
        <f t="shared" si="29"/>
        <v>0.000299065548341401</v>
      </c>
      <c r="F474">
        <f t="shared" si="30"/>
        <v>3.13536953353839e-8</v>
      </c>
    </row>
    <row r="475" spans="1:6">
      <c r="A475">
        <v>1.4495</v>
      </c>
      <c r="B475">
        <v>1349.99</v>
      </c>
      <c r="C475">
        <f t="shared" si="28"/>
        <v>0.000837393753659873</v>
      </c>
      <c r="D475">
        <f t="shared" si="31"/>
        <v>0.000152290049822326</v>
      </c>
      <c r="E475">
        <f t="shared" si="29"/>
        <v>0.000292209979108459</v>
      </c>
      <c r="F475">
        <f t="shared" si="30"/>
        <v>1.95775866114365e-8</v>
      </c>
    </row>
    <row r="476" spans="1:6">
      <c r="A476">
        <v>1.4505</v>
      </c>
      <c r="B476">
        <v>1348.78</v>
      </c>
      <c r="C476">
        <f t="shared" si="28"/>
        <v>-0.000896704855232585</v>
      </c>
      <c r="D476">
        <f t="shared" si="31"/>
        <v>7.64956390604972e-5</v>
      </c>
      <c r="E476">
        <f t="shared" si="29"/>
        <v>0.000295230314616007</v>
      </c>
      <c r="F476">
        <f t="shared" si="30"/>
        <v>4.78448582903739e-8</v>
      </c>
    </row>
    <row r="477" spans="1:6">
      <c r="A477">
        <v>1.4506</v>
      </c>
      <c r="B477">
        <v>1360.03</v>
      </c>
      <c r="C477">
        <f t="shared" si="28"/>
        <v>0.00830627816793472</v>
      </c>
      <c r="D477">
        <f t="shared" si="31"/>
        <v>3.86498593289474e-5</v>
      </c>
      <c r="E477">
        <f t="shared" si="29"/>
        <v>0.000300123501558465</v>
      </c>
      <c r="F477">
        <f t="shared" si="30"/>
        <v>6.83684655807697e-8</v>
      </c>
    </row>
    <row r="478" spans="1:6">
      <c r="A478">
        <v>1.4592</v>
      </c>
      <c r="B478">
        <v>1342.53</v>
      </c>
      <c r="C478">
        <f t="shared" si="28"/>
        <v>-0.0129508648082764</v>
      </c>
      <c r="D478">
        <f t="shared" si="31"/>
        <v>5.38220581660282e-5</v>
      </c>
      <c r="E478">
        <f t="shared" si="29"/>
        <v>0.000298641261932268</v>
      </c>
      <c r="F478">
        <f t="shared" si="30"/>
        <v>5.99364425327357e-8</v>
      </c>
    </row>
    <row r="479" spans="1:6">
      <c r="A479">
        <v>1.4569</v>
      </c>
      <c r="B479">
        <v>1353.11</v>
      </c>
      <c r="C479">
        <f t="shared" si="28"/>
        <v>0.00784975317700559</v>
      </c>
      <c r="D479">
        <f t="shared" si="31"/>
        <v>0.00011077347872414</v>
      </c>
      <c r="E479">
        <f t="shared" si="29"/>
        <v>0.000294604897631896</v>
      </c>
      <c r="F479">
        <f t="shared" si="30"/>
        <v>3.37939905776387e-8</v>
      </c>
    </row>
    <row r="480" spans="1:6">
      <c r="A480">
        <v>1.4635</v>
      </c>
      <c r="B480">
        <v>1371.8</v>
      </c>
      <c r="C480">
        <f t="shared" si="28"/>
        <v>0.0137180993861569</v>
      </c>
      <c r="D480">
        <f t="shared" si="31"/>
        <v>8.61960518320248e-5</v>
      </c>
      <c r="E480">
        <f t="shared" si="29"/>
        <v>0.000341989533764917</v>
      </c>
      <c r="F480">
        <f t="shared" si="30"/>
        <v>6.54303053993527e-8</v>
      </c>
    </row>
    <row r="481" spans="1:6">
      <c r="A481">
        <v>1.4674</v>
      </c>
      <c r="B481">
        <v>1381.29</v>
      </c>
      <c r="C481">
        <f t="shared" si="28"/>
        <v>0.00689409905754826</v>
      </c>
      <c r="D481">
        <f t="shared" si="31"/>
        <v>0.000137191151300252</v>
      </c>
      <c r="E481">
        <f t="shared" si="29"/>
        <v>0.000334838832869686</v>
      </c>
      <c r="F481">
        <f t="shared" si="30"/>
        <v>3.90646060297725e-8</v>
      </c>
    </row>
    <row r="482" spans="1:6">
      <c r="A482">
        <v>1.4742</v>
      </c>
      <c r="B482">
        <v>1380.02</v>
      </c>
      <c r="C482">
        <f t="shared" si="28"/>
        <v>-0.000919853322914674</v>
      </c>
      <c r="D482">
        <f t="shared" si="31"/>
        <v>9.23598765577697e-5</v>
      </c>
      <c r="E482">
        <f t="shared" si="29"/>
        <v>0.000332903583829869</v>
      </c>
      <c r="F482">
        <f t="shared" si="30"/>
        <v>5.78612751082052e-8</v>
      </c>
    </row>
    <row r="483" spans="1:6">
      <c r="A483">
        <v>1.4663</v>
      </c>
      <c r="B483">
        <v>1367.68</v>
      </c>
      <c r="C483">
        <f t="shared" si="28"/>
        <v>-0.00898211810912645</v>
      </c>
      <c r="D483">
        <f t="shared" si="31"/>
        <v>4.66030033467234e-5</v>
      </c>
      <c r="E483">
        <f t="shared" si="29"/>
        <v>0.000332936518166067</v>
      </c>
      <c r="F483">
        <f t="shared" si="30"/>
        <v>8.1986881708799e-8</v>
      </c>
    </row>
    <row r="484" spans="1:6">
      <c r="A484">
        <v>1.4813</v>
      </c>
      <c r="B484">
        <v>1330.63</v>
      </c>
      <c r="C484">
        <f t="shared" si="28"/>
        <v>-0.0274633594173526</v>
      </c>
      <c r="D484">
        <f t="shared" si="31"/>
        <v>6.36407245365104e-5</v>
      </c>
      <c r="E484">
        <f t="shared" si="29"/>
        <v>0.000329862696932179</v>
      </c>
      <c r="F484">
        <f t="shared" si="30"/>
        <v>7.08741385862399e-8</v>
      </c>
    </row>
    <row r="485" spans="1:6">
      <c r="A485">
        <v>1.4825</v>
      </c>
      <c r="B485">
        <v>1331.34</v>
      </c>
      <c r="C485">
        <f t="shared" si="28"/>
        <v>0.000533439533004661</v>
      </c>
      <c r="D485">
        <f t="shared" si="31"/>
        <v>0.0004089384175116</v>
      </c>
      <c r="E485">
        <f t="shared" si="29"/>
        <v>0.000299726543328032</v>
      </c>
      <c r="F485">
        <f t="shared" si="30"/>
        <v>1.19272334626876e-8</v>
      </c>
    </row>
    <row r="486" spans="1:6">
      <c r="A486">
        <v>1.4822</v>
      </c>
      <c r="B486">
        <v>1326.75</v>
      </c>
      <c r="C486">
        <f t="shared" si="28"/>
        <v>-0.00345361109837576</v>
      </c>
      <c r="D486">
        <f t="shared" si="31"/>
        <v>0.000204611487623486</v>
      </c>
      <c r="E486">
        <f t="shared" si="29"/>
        <v>0.000302930361010535</v>
      </c>
      <c r="F486">
        <f t="shared" si="30"/>
        <v>9.66660086409863e-9</v>
      </c>
    </row>
    <row r="487" spans="1:6">
      <c r="A487">
        <v>1.4889</v>
      </c>
      <c r="B487">
        <v>1333.7</v>
      </c>
      <c r="C487">
        <f t="shared" si="28"/>
        <v>0.00522469192034451</v>
      </c>
      <c r="D487">
        <f t="shared" si="31"/>
        <v>0.000108269458621155</v>
      </c>
      <c r="E487">
        <f t="shared" si="29"/>
        <v>0.000302733944549658</v>
      </c>
      <c r="F487">
        <f t="shared" si="30"/>
        <v>3.78164362874367e-8</v>
      </c>
    </row>
    <row r="488" spans="1:6">
      <c r="A488">
        <v>1.5132</v>
      </c>
      <c r="B488">
        <v>1304.34</v>
      </c>
      <c r="C488">
        <f t="shared" si="28"/>
        <v>-0.0222598689312063</v>
      </c>
      <c r="D488">
        <f t="shared" si="31"/>
        <v>6.77834321418342e-5</v>
      </c>
      <c r="E488">
        <f t="shared" si="29"/>
        <v>0.000319563935000886</v>
      </c>
      <c r="F488">
        <f t="shared" si="30"/>
        <v>6.3393421619957e-8</v>
      </c>
    </row>
    <row r="489" spans="1:6">
      <c r="A489">
        <v>1.5172</v>
      </c>
      <c r="B489">
        <v>1293.37</v>
      </c>
      <c r="C489">
        <f t="shared" si="28"/>
        <v>-0.00844595063433755</v>
      </c>
      <c r="D489">
        <f t="shared" si="31"/>
        <v>0.000281642598488159</v>
      </c>
      <c r="E489">
        <f t="shared" si="29"/>
        <v>0.000299693473624643</v>
      </c>
      <c r="F489">
        <f t="shared" si="30"/>
        <v>3.25834093192953e-10</v>
      </c>
    </row>
    <row r="490" spans="1:6">
      <c r="A490">
        <v>1.5187</v>
      </c>
      <c r="B490">
        <v>1273.37</v>
      </c>
      <c r="C490">
        <f t="shared" si="28"/>
        <v>-0.015584285733367</v>
      </c>
      <c r="D490">
        <f t="shared" si="31"/>
        <v>0.000176488340302913</v>
      </c>
      <c r="E490">
        <f t="shared" si="29"/>
        <v>0.000296690462652395</v>
      </c>
      <c r="F490">
        <f t="shared" si="30"/>
        <v>1.44485502173199e-8</v>
      </c>
    </row>
    <row r="491" spans="1:6">
      <c r="A491">
        <v>1.5195</v>
      </c>
      <c r="B491">
        <v>1320.65</v>
      </c>
      <c r="C491">
        <f t="shared" si="28"/>
        <v>0.0364571102923722</v>
      </c>
      <c r="D491">
        <f t="shared" si="31"/>
        <v>0.00020967915106107</v>
      </c>
      <c r="E491">
        <f t="shared" si="29"/>
        <v>0.000301233283822623</v>
      </c>
      <c r="F491">
        <f t="shared" si="30"/>
        <v>8.3821592257201e-9</v>
      </c>
    </row>
    <row r="492" spans="1:6">
      <c r="A492">
        <v>1.521</v>
      </c>
      <c r="B492">
        <v>1308.77</v>
      </c>
      <c r="C492">
        <f t="shared" si="28"/>
        <v>-0.00903627479642632</v>
      </c>
      <c r="D492">
        <f t="shared" si="31"/>
        <v>0.00076940002096563</v>
      </c>
      <c r="E492">
        <f t="shared" si="29"/>
        <v>0.000253746659869287</v>
      </c>
      <c r="F492">
        <f t="shared" si="30"/>
        <v>2.65898388809956e-7</v>
      </c>
    </row>
    <row r="493" spans="1:6">
      <c r="A493">
        <v>1.5282</v>
      </c>
      <c r="B493">
        <v>1315.48</v>
      </c>
      <c r="C493">
        <f t="shared" si="28"/>
        <v>0.00511385319465585</v>
      </c>
      <c r="D493">
        <f t="shared" si="31"/>
        <v>0.00042552714158108</v>
      </c>
      <c r="E493">
        <f t="shared" si="29"/>
        <v>0.000259504653293084</v>
      </c>
      <c r="F493">
        <f t="shared" si="30"/>
        <v>2.75634666173379e-8</v>
      </c>
    </row>
    <row r="494" spans="1:6">
      <c r="A494">
        <v>1.5356</v>
      </c>
      <c r="B494">
        <v>1288.14</v>
      </c>
      <c r="C494">
        <f t="shared" si="28"/>
        <v>-0.021002300610511</v>
      </c>
      <c r="D494">
        <f t="shared" si="31"/>
        <v>0.000225839318038786</v>
      </c>
      <c r="E494">
        <f t="shared" si="29"/>
        <v>0.000259727310194684</v>
      </c>
      <c r="F494">
        <f t="shared" si="30"/>
        <v>1.14839601235818e-9</v>
      </c>
    </row>
    <row r="495" spans="1:6">
      <c r="A495">
        <v>1.5333</v>
      </c>
      <c r="B495">
        <v>1276.6</v>
      </c>
      <c r="C495">
        <f t="shared" si="28"/>
        <v>-0.0089990235875717</v>
      </c>
      <c r="D495">
        <f t="shared" si="31"/>
        <v>0.000333467974486528</v>
      </c>
      <c r="E495">
        <f t="shared" si="29"/>
        <v>0.000242977316254036</v>
      </c>
      <c r="F495">
        <f t="shared" si="30"/>
        <v>8.18855922734965e-9</v>
      </c>
    </row>
    <row r="496" spans="1:6">
      <c r="A496">
        <v>1.5369</v>
      </c>
      <c r="B496">
        <v>1330.74</v>
      </c>
      <c r="C496">
        <f t="shared" si="28"/>
        <v>0.0415348846432165</v>
      </c>
      <c r="D496">
        <f t="shared" si="31"/>
        <v>0.0002072252000081</v>
      </c>
      <c r="E496">
        <f t="shared" si="29"/>
        <v>0.000237442486460955</v>
      </c>
      <c r="F496">
        <f t="shared" si="30"/>
        <v>9.13084400573913e-10</v>
      </c>
    </row>
    <row r="497" spans="1:6">
      <c r="A497">
        <v>1.5329</v>
      </c>
      <c r="B497">
        <v>1298.42</v>
      </c>
      <c r="C497">
        <f t="shared" si="28"/>
        <v>-0.0245870378097967</v>
      </c>
      <c r="D497">
        <f t="shared" si="31"/>
        <v>0.000966185921166701</v>
      </c>
      <c r="E497">
        <f t="shared" si="29"/>
        <v>0.000176598388220433</v>
      </c>
      <c r="F497">
        <f t="shared" si="30"/>
        <v>6.23448472184174e-7</v>
      </c>
    </row>
    <row r="498" spans="1:6">
      <c r="A498">
        <v>1.5495</v>
      </c>
      <c r="B498">
        <v>1329.51</v>
      </c>
      <c r="C498">
        <f t="shared" si="28"/>
        <v>0.0236623126240814</v>
      </c>
      <c r="D498">
        <f t="shared" si="31"/>
        <v>0.000785354174713537</v>
      </c>
      <c r="E498">
        <f t="shared" si="29"/>
        <v>0.00014852684217665</v>
      </c>
      <c r="F498">
        <f t="shared" si="30"/>
        <v>4.05549051466047e-7</v>
      </c>
    </row>
    <row r="499" spans="1:6">
      <c r="A499">
        <v>1.5584</v>
      </c>
      <c r="B499">
        <v>1349.88</v>
      </c>
      <c r="C499">
        <f t="shared" si="28"/>
        <v>0.0152052463132767</v>
      </c>
      <c r="D499">
        <f t="shared" si="31"/>
        <v>0.000672629606716649</v>
      </c>
      <c r="E499">
        <f t="shared" si="29"/>
        <v>0.000130845794849922</v>
      </c>
      <c r="F499">
        <f t="shared" si="30"/>
        <v>2.93529698800842e-7</v>
      </c>
    </row>
    <row r="500" spans="1:6">
      <c r="A500">
        <v>1.5604</v>
      </c>
      <c r="B500">
        <v>1352.99</v>
      </c>
      <c r="C500">
        <f t="shared" si="28"/>
        <v>0.00230125856773887</v>
      </c>
      <c r="D500">
        <f t="shared" si="31"/>
        <v>0.000451914561082032</v>
      </c>
      <c r="E500">
        <f t="shared" si="29"/>
        <v>0.00012452747554495</v>
      </c>
      <c r="F500">
        <f t="shared" si="30"/>
        <v>1.07182303776465e-7</v>
      </c>
    </row>
    <row r="501" spans="1:6">
      <c r="A501">
        <v>1.5765</v>
      </c>
      <c r="B501">
        <v>1341.13</v>
      </c>
      <c r="C501">
        <f t="shared" si="28"/>
        <v>-0.00880441599725943</v>
      </c>
      <c r="D501">
        <f t="shared" si="31"/>
        <v>0.000228605176038812</v>
      </c>
      <c r="E501">
        <f t="shared" si="29"/>
        <v>0.000125418885124806</v>
      </c>
      <c r="F501">
        <f t="shared" si="30"/>
        <v>1.06474106325899e-8</v>
      </c>
    </row>
    <row r="502" spans="1:6">
      <c r="A502">
        <v>1.5784</v>
      </c>
      <c r="B502">
        <v>1325.76</v>
      </c>
      <c r="C502">
        <f t="shared" si="28"/>
        <v>-0.0115266622741774</v>
      </c>
      <c r="D502">
        <f t="shared" si="31"/>
        <v>0.000153061458545805</v>
      </c>
      <c r="E502">
        <f t="shared" si="29"/>
        <v>0.000130957893999206</v>
      </c>
      <c r="F502">
        <f t="shared" si="30"/>
        <v>4.88567565665654e-10</v>
      </c>
    </row>
    <row r="503" spans="1:6">
      <c r="A503">
        <v>1.5642</v>
      </c>
      <c r="B503">
        <v>1315.22</v>
      </c>
      <c r="C503">
        <f t="shared" si="28"/>
        <v>-0.00798192789009182</v>
      </c>
      <c r="D503">
        <f t="shared" si="31"/>
        <v>0.000142962700864375</v>
      </c>
      <c r="E503">
        <f t="shared" si="29"/>
        <v>0.000123473157597535</v>
      </c>
      <c r="F503">
        <f t="shared" si="30"/>
        <v>3.79842296750031e-10</v>
      </c>
    </row>
    <row r="504" spans="1:6">
      <c r="A504">
        <v>1.5417</v>
      </c>
      <c r="B504">
        <v>1322.7</v>
      </c>
      <c r="C504">
        <f t="shared" si="28"/>
        <v>0.00567115003305659</v>
      </c>
      <c r="D504">
        <f t="shared" si="31"/>
        <v>0.0001033369368535</v>
      </c>
      <c r="E504">
        <f t="shared" si="29"/>
        <v>0.000121051490057828</v>
      </c>
      <c r="F504">
        <f t="shared" si="30"/>
        <v>3.13805395228967e-10</v>
      </c>
    </row>
    <row r="505" spans="1:6">
      <c r="A505">
        <v>1.5447</v>
      </c>
      <c r="B505">
        <v>1370.18</v>
      </c>
      <c r="C505">
        <f t="shared" si="28"/>
        <v>0.0352670160209852</v>
      </c>
      <c r="D505">
        <f t="shared" si="31"/>
        <v>6.77494397754689e-5</v>
      </c>
      <c r="E505">
        <f t="shared" si="29"/>
        <v>0.000121676264077064</v>
      </c>
      <c r="F505">
        <f t="shared" si="30"/>
        <v>2.9081023792551e-9</v>
      </c>
    </row>
    <row r="506" spans="1:6">
      <c r="A506">
        <v>1.5394</v>
      </c>
      <c r="B506">
        <v>1367.53</v>
      </c>
      <c r="C506">
        <f t="shared" si="28"/>
        <v>-0.00193592515470274</v>
      </c>
      <c r="D506">
        <f t="shared" si="31"/>
        <v>0.000655755929399948</v>
      </c>
      <c r="E506">
        <f t="shared" si="29"/>
        <v>9.23735543674911e-5</v>
      </c>
      <c r="F506">
        <f t="shared" si="30"/>
        <v>3.17399700497212e-7</v>
      </c>
    </row>
    <row r="507" spans="1:6">
      <c r="A507">
        <v>1.5595</v>
      </c>
      <c r="B507">
        <v>1369.31</v>
      </c>
      <c r="C507">
        <f t="shared" si="28"/>
        <v>0.00130077041477067</v>
      </c>
      <c r="D507">
        <f t="shared" si="31"/>
        <v>0.000329751867802279</v>
      </c>
      <c r="E507">
        <f t="shared" si="29"/>
        <v>9.24328254198822e-5</v>
      </c>
      <c r="F507">
        <f t="shared" si="30"/>
        <v>5.63203278772979e-8</v>
      </c>
    </row>
    <row r="508" spans="1:6">
      <c r="A508">
        <v>1.5761</v>
      </c>
      <c r="B508">
        <v>1370.4</v>
      </c>
      <c r="C508">
        <f t="shared" si="28"/>
        <v>0.000795704696855523</v>
      </c>
      <c r="D508">
        <f t="shared" si="31"/>
        <v>0.000165721935737111</v>
      </c>
      <c r="E508">
        <f t="shared" si="29"/>
        <v>9.4627059237193e-5</v>
      </c>
      <c r="F508">
        <f t="shared" si="30"/>
        <v>5.05448146453859e-9</v>
      </c>
    </row>
    <row r="509" spans="1:6">
      <c r="A509">
        <v>1.5798</v>
      </c>
      <c r="B509">
        <v>1372.54</v>
      </c>
      <c r="C509">
        <f t="shared" si="28"/>
        <v>0.00156036984709659</v>
      </c>
      <c r="D509">
        <f t="shared" si="31"/>
        <v>8.31775408508544e-5</v>
      </c>
      <c r="E509">
        <f t="shared" si="29"/>
        <v>9.88177949144505e-5</v>
      </c>
      <c r="F509">
        <f t="shared" si="30"/>
        <v>2.44617547173833e-10</v>
      </c>
    </row>
    <row r="510" spans="1:6">
      <c r="A510">
        <v>1.5759</v>
      </c>
      <c r="B510">
        <v>1365.54</v>
      </c>
      <c r="C510">
        <f t="shared" si="28"/>
        <v>-0.00511308307312969</v>
      </c>
      <c r="D510">
        <f t="shared" si="31"/>
        <v>4.28061474552913e-5</v>
      </c>
      <c r="E510">
        <f t="shared" si="29"/>
        <v>9.88636921164456e-5</v>
      </c>
      <c r="F510">
        <f t="shared" si="30"/>
        <v>3.14244831343731e-9</v>
      </c>
    </row>
    <row r="511" spans="1:6">
      <c r="A511">
        <v>1.5805</v>
      </c>
      <c r="B511">
        <v>1354.49</v>
      </c>
      <c r="C511">
        <f t="shared" si="28"/>
        <v>-0.00812495508406088</v>
      </c>
      <c r="D511">
        <f t="shared" si="31"/>
        <v>3.44748829840083e-5</v>
      </c>
      <c r="E511">
        <f t="shared" si="29"/>
        <v>9.77133632623707e-5</v>
      </c>
      <c r="F511">
        <f t="shared" si="30"/>
        <v>3.99910538791683e-9</v>
      </c>
    </row>
    <row r="512" spans="1:6">
      <c r="A512">
        <v>1.5615</v>
      </c>
      <c r="B512">
        <v>1360.55</v>
      </c>
      <c r="C512">
        <f t="shared" si="28"/>
        <v>0.00446403004258976</v>
      </c>
      <c r="D512">
        <f t="shared" si="31"/>
        <v>5.02448890510075e-5</v>
      </c>
      <c r="E512">
        <f t="shared" si="29"/>
        <v>9.71873504672345e-5</v>
      </c>
      <c r="F512">
        <f t="shared" si="30"/>
        <v>2.20359468381396e-9</v>
      </c>
    </row>
    <row r="513" spans="1:6">
      <c r="A513">
        <v>1.5618</v>
      </c>
      <c r="B513">
        <v>1332.83</v>
      </c>
      <c r="C513">
        <f t="shared" si="28"/>
        <v>-0.0205845285795504</v>
      </c>
      <c r="D513">
        <f t="shared" si="31"/>
        <v>3.50862266360757e-5</v>
      </c>
      <c r="E513">
        <f t="shared" si="29"/>
        <v>9.69287956710334e-5</v>
      </c>
      <c r="F513">
        <f t="shared" si="30"/>
        <v>3.8245033448435e-9</v>
      </c>
    </row>
    <row r="514" spans="1:6">
      <c r="A514">
        <v>1.5667</v>
      </c>
      <c r="B514">
        <v>1328.32</v>
      </c>
      <c r="C514">
        <f t="shared" si="28"/>
        <v>-0.00338951529818191</v>
      </c>
      <c r="D514">
        <f t="shared" si="31"/>
        <v>0.000229404521739201</v>
      </c>
      <c r="E514">
        <f t="shared" si="29"/>
        <v>7.62266633808089e-5</v>
      </c>
      <c r="F514">
        <f t="shared" si="30"/>
        <v>2.34634562912638e-8</v>
      </c>
    </row>
    <row r="515" spans="1:6">
      <c r="A515">
        <v>1.5735</v>
      </c>
      <c r="B515">
        <v>1334.43</v>
      </c>
      <c r="C515">
        <f t="shared" si="28"/>
        <v>0.00458924850148027</v>
      </c>
      <c r="D515">
        <f t="shared" si="31"/>
        <v>0.000120446667847905</v>
      </c>
      <c r="E515">
        <f t="shared" si="29"/>
        <v>8.04255990775321e-5</v>
      </c>
      <c r="F515">
        <f t="shared" si="30"/>
        <v>1.60168594552295e-9</v>
      </c>
    </row>
    <row r="516" spans="1:6">
      <c r="A516">
        <v>1.5713</v>
      </c>
      <c r="B516">
        <v>1364.71</v>
      </c>
      <c r="C516">
        <f t="shared" ref="C516:C579" si="32">LN(B516/B515)</f>
        <v>0.0224377174688585</v>
      </c>
      <c r="D516">
        <f t="shared" si="31"/>
        <v>7.07539348281221e-5</v>
      </c>
      <c r="E516">
        <f t="shared" ref="E516:E579" si="33">_xlfn.VAR.S(C516:C541)</f>
        <v>9.33639804865866e-5</v>
      </c>
      <c r="F516">
        <f t="shared" ref="F516:F579" si="34">(D516-E516)^2</f>
        <v>5.11214164677849e-10</v>
      </c>
    </row>
    <row r="517" spans="1:6">
      <c r="A517">
        <v>1.5705</v>
      </c>
      <c r="B517">
        <v>1365.56</v>
      </c>
      <c r="C517">
        <f t="shared" si="32"/>
        <v>0.000622649062152378</v>
      </c>
      <c r="D517">
        <f t="shared" ref="D517:D580" si="35">$H$1*D516+(1-$H$1)*C516^2</f>
        <v>0.00028710255002022</v>
      </c>
      <c r="E517">
        <f t="shared" si="33"/>
        <v>7.54144196993575e-5</v>
      </c>
      <c r="F517">
        <f t="shared" si="34"/>
        <v>4.48118645187425e-8</v>
      </c>
    </row>
    <row r="518" spans="1:6">
      <c r="A518">
        <v>1.5804</v>
      </c>
      <c r="B518">
        <v>1390.33</v>
      </c>
      <c r="C518">
        <f t="shared" si="32"/>
        <v>0.0179765281222031</v>
      </c>
      <c r="D518">
        <f t="shared" si="35"/>
        <v>0.00014374512093741</v>
      </c>
      <c r="E518">
        <f t="shared" si="33"/>
        <v>8.30951098985544e-5</v>
      </c>
      <c r="F518">
        <f t="shared" si="34"/>
        <v>3.67842383901327e-9</v>
      </c>
    </row>
    <row r="519" spans="1:6">
      <c r="A519">
        <v>1.5744</v>
      </c>
      <c r="B519">
        <v>1388.17</v>
      </c>
      <c r="C519">
        <f t="shared" si="32"/>
        <v>-0.00155479606631653</v>
      </c>
      <c r="D519">
        <f t="shared" si="35"/>
        <v>0.000233450342132884</v>
      </c>
      <c r="E519">
        <f t="shared" si="33"/>
        <v>7.20992346921927e-5</v>
      </c>
      <c r="F519">
        <f t="shared" si="34"/>
        <v>2.60341798723376e-8</v>
      </c>
    </row>
    <row r="520" spans="1:6">
      <c r="A520">
        <v>1.5796</v>
      </c>
      <c r="B520">
        <v>1375.94</v>
      </c>
      <c r="C520">
        <f t="shared" si="32"/>
        <v>-0.00884919906163608</v>
      </c>
      <c r="D520">
        <f t="shared" si="35"/>
        <v>0.000117933866470359</v>
      </c>
      <c r="E520">
        <f t="shared" si="33"/>
        <v>7.26423695900968e-5</v>
      </c>
      <c r="F520">
        <f t="shared" si="34"/>
        <v>2.05131968965479e-9</v>
      </c>
    </row>
    <row r="521" spans="1:6">
      <c r="A521">
        <v>1.5827</v>
      </c>
      <c r="B521">
        <v>1379.93</v>
      </c>
      <c r="C521">
        <f t="shared" si="32"/>
        <v>0.00289563933561553</v>
      </c>
      <c r="D521">
        <f t="shared" si="35"/>
        <v>9.81210952514098e-5</v>
      </c>
      <c r="E521">
        <f t="shared" si="33"/>
        <v>7.02497595915904e-5</v>
      </c>
      <c r="F521">
        <f t="shared" si="34"/>
        <v>7.76811351462324e-10</v>
      </c>
    </row>
    <row r="522" spans="1:6">
      <c r="A522">
        <v>1.5801</v>
      </c>
      <c r="B522">
        <v>1388.82</v>
      </c>
      <c r="C522">
        <f t="shared" si="32"/>
        <v>0.0064216924970211</v>
      </c>
      <c r="D522">
        <f t="shared" si="35"/>
        <v>5.32529112066869e-5</v>
      </c>
      <c r="E522">
        <f t="shared" si="33"/>
        <v>7.00716071275974e-5</v>
      </c>
      <c r="F522">
        <f t="shared" si="34"/>
        <v>2.82868532480051e-10</v>
      </c>
    </row>
    <row r="523" spans="1:6">
      <c r="A523">
        <v>1.5978</v>
      </c>
      <c r="B523">
        <v>1397.84</v>
      </c>
      <c r="C523">
        <f t="shared" si="32"/>
        <v>0.00647372230673058</v>
      </c>
      <c r="D523">
        <f t="shared" si="35"/>
        <v>4.7245522866492e-5</v>
      </c>
      <c r="E523">
        <f t="shared" si="33"/>
        <v>7.32075049980147e-5</v>
      </c>
      <c r="F523">
        <f t="shared" si="34"/>
        <v>6.74024516197505e-10</v>
      </c>
    </row>
    <row r="524" spans="1:6">
      <c r="A524">
        <v>1.5924</v>
      </c>
      <c r="B524">
        <v>1396.37</v>
      </c>
      <c r="C524">
        <f t="shared" si="32"/>
        <v>-0.00105217584620813</v>
      </c>
      <c r="D524">
        <f t="shared" si="35"/>
        <v>4.45773016855765e-5</v>
      </c>
      <c r="E524">
        <f t="shared" si="33"/>
        <v>7.2561169308521e-5</v>
      </c>
      <c r="F524">
        <f t="shared" si="34"/>
        <v>7.83096847138479e-10</v>
      </c>
    </row>
    <row r="525" spans="1:6">
      <c r="A525">
        <v>1.5742</v>
      </c>
      <c r="B525">
        <v>1390.94</v>
      </c>
      <c r="C525">
        <f t="shared" si="32"/>
        <v>-0.00389623462710611</v>
      </c>
      <c r="D525">
        <f t="shared" si="35"/>
        <v>2.28421878484602e-5</v>
      </c>
      <c r="E525">
        <f t="shared" si="33"/>
        <v>7.25528228548635e-5</v>
      </c>
      <c r="F525">
        <f t="shared" si="34"/>
        <v>2.47114723273986e-9</v>
      </c>
    </row>
    <row r="526" spans="1:6">
      <c r="A526">
        <v>1.5881</v>
      </c>
      <c r="B526">
        <v>1385.59</v>
      </c>
      <c r="C526">
        <f t="shared" si="32"/>
        <v>-0.00385373586541059</v>
      </c>
      <c r="D526">
        <f t="shared" si="35"/>
        <v>1.90114160589604e-5</v>
      </c>
      <c r="E526">
        <f t="shared" si="33"/>
        <v>8.70168622794685e-5</v>
      </c>
      <c r="F526">
        <f t="shared" si="34"/>
        <v>4.62474071565041e-9</v>
      </c>
    </row>
    <row r="527" spans="1:6">
      <c r="A527">
        <v>1.601</v>
      </c>
      <c r="B527">
        <v>1409.34</v>
      </c>
      <c r="C527">
        <f t="shared" si="32"/>
        <v>0.016995467987741</v>
      </c>
      <c r="D527">
        <f t="shared" si="35"/>
        <v>1.69313480896562e-5</v>
      </c>
      <c r="E527">
        <f t="shared" si="33"/>
        <v>0.000125430872461715</v>
      </c>
      <c r="F527">
        <f t="shared" si="34"/>
        <v>1.17721467889629e-8</v>
      </c>
    </row>
    <row r="528" spans="1:6">
      <c r="A528">
        <v>1.5898</v>
      </c>
      <c r="B528">
        <v>1413.9</v>
      </c>
      <c r="C528">
        <f t="shared" si="32"/>
        <v>0.0032303339179958</v>
      </c>
      <c r="D528">
        <f t="shared" si="35"/>
        <v>0.000152888640105993</v>
      </c>
      <c r="E528">
        <f t="shared" si="33"/>
        <v>0.000112593960806861</v>
      </c>
      <c r="F528">
        <f t="shared" si="34"/>
        <v>1.62366117981983e-9</v>
      </c>
    </row>
    <row r="529" spans="1:6">
      <c r="A529">
        <v>1.5668</v>
      </c>
      <c r="B529">
        <v>1407.49</v>
      </c>
      <c r="C529">
        <f t="shared" si="32"/>
        <v>-0.00454386740492572</v>
      </c>
      <c r="D529">
        <f t="shared" si="35"/>
        <v>8.16618486638734e-5</v>
      </c>
      <c r="E529">
        <f t="shared" si="33"/>
        <v>0.000111766111059289</v>
      </c>
      <c r="F529">
        <f t="shared" si="34"/>
        <v>9.06266614372063e-10</v>
      </c>
    </row>
    <row r="530" spans="1:6">
      <c r="A530">
        <v>1.5634</v>
      </c>
      <c r="B530">
        <v>1418.26</v>
      </c>
      <c r="C530">
        <f t="shared" si="32"/>
        <v>0.0076227919320132</v>
      </c>
      <c r="D530">
        <f t="shared" si="35"/>
        <v>5.11542898287099e-5</v>
      </c>
      <c r="E530">
        <f t="shared" si="33"/>
        <v>0.000120774371159051</v>
      </c>
      <c r="F530">
        <f t="shared" si="34"/>
        <v>4.84695572444329e-9</v>
      </c>
    </row>
    <row r="531" spans="1:6">
      <c r="A531">
        <v>1.5648</v>
      </c>
      <c r="B531">
        <v>1392.57</v>
      </c>
      <c r="C531">
        <f t="shared" si="32"/>
        <v>-0.0182798072870818</v>
      </c>
      <c r="D531">
        <f t="shared" si="35"/>
        <v>5.46306233337377e-5</v>
      </c>
      <c r="E531">
        <f t="shared" si="33"/>
        <v>0.000118147277030521</v>
      </c>
      <c r="F531">
        <f t="shared" si="34"/>
        <v>4.03436529683708e-9</v>
      </c>
    </row>
    <row r="532" spans="1:6">
      <c r="A532">
        <v>1.5604</v>
      </c>
      <c r="B532">
        <v>1397.68</v>
      </c>
      <c r="C532">
        <f t="shared" si="32"/>
        <v>0.00366275832838854</v>
      </c>
      <c r="D532">
        <f t="shared" si="35"/>
        <v>0.000194390988893293</v>
      </c>
      <c r="E532">
        <f t="shared" si="33"/>
        <v>0.000117815937048636</v>
      </c>
      <c r="F532">
        <f t="shared" si="34"/>
        <v>5.86373856501196e-9</v>
      </c>
    </row>
    <row r="533" spans="1:6">
      <c r="A533">
        <v>1.5568</v>
      </c>
      <c r="B533">
        <v>1388.28</v>
      </c>
      <c r="C533">
        <f t="shared" si="32"/>
        <v>-0.00674814833739135</v>
      </c>
      <c r="D533">
        <f t="shared" si="35"/>
        <v>0.000103903393732736</v>
      </c>
      <c r="E533">
        <f t="shared" si="33"/>
        <v>0.000116999241654734</v>
      </c>
      <c r="F533">
        <f t="shared" si="34"/>
        <v>1.71501232796081e-10</v>
      </c>
    </row>
    <row r="534" spans="1:6">
      <c r="A534">
        <v>1.5458</v>
      </c>
      <c r="B534">
        <v>1403.58</v>
      </c>
      <c r="C534">
        <f t="shared" si="32"/>
        <v>0.0109605447049329</v>
      </c>
      <c r="D534">
        <f t="shared" si="35"/>
        <v>7.47204498580871e-5</v>
      </c>
      <c r="E534">
        <f t="shared" si="33"/>
        <v>0.000117020414433985</v>
      </c>
      <c r="F534">
        <f t="shared" si="34"/>
        <v>1.78928700312221e-9</v>
      </c>
    </row>
    <row r="535" spans="1:6">
      <c r="A535">
        <v>1.5431</v>
      </c>
      <c r="B535">
        <v>1403.04</v>
      </c>
      <c r="C535">
        <f t="shared" si="32"/>
        <v>-0.000384804502685308</v>
      </c>
      <c r="D535">
        <f t="shared" si="35"/>
        <v>9.74269950434598e-5</v>
      </c>
      <c r="E535">
        <f t="shared" si="33"/>
        <v>0.000113625644821721</v>
      </c>
      <c r="F535">
        <f t="shared" si="34"/>
        <v>2.62396254638775e-10</v>
      </c>
    </row>
    <row r="536" spans="1:6">
      <c r="A536">
        <v>1.5491</v>
      </c>
      <c r="B536">
        <v>1408.66</v>
      </c>
      <c r="C536">
        <f t="shared" si="32"/>
        <v>0.00399758685798123</v>
      </c>
      <c r="D536">
        <f t="shared" si="35"/>
        <v>4.87875347743734e-5</v>
      </c>
      <c r="E536">
        <f t="shared" si="33"/>
        <v>0.000114764489300661</v>
      </c>
      <c r="F536">
        <f t="shared" si="34"/>
        <v>4.35295852856377e-9</v>
      </c>
    </row>
    <row r="537" spans="1:6">
      <c r="A537">
        <v>1.5548</v>
      </c>
      <c r="B537">
        <v>1423.57</v>
      </c>
      <c r="C537">
        <f t="shared" si="32"/>
        <v>0.0105289031897585</v>
      </c>
      <c r="D537">
        <f t="shared" si="35"/>
        <v>3.23841177307388e-5</v>
      </c>
      <c r="E537">
        <f t="shared" si="33"/>
        <v>0.00012427897664935</v>
      </c>
      <c r="F537">
        <f t="shared" si="34"/>
        <v>8.44466509567144e-9</v>
      </c>
    </row>
    <row r="538" spans="1:6">
      <c r="A538">
        <v>1.537</v>
      </c>
      <c r="B538">
        <v>1425.35</v>
      </c>
      <c r="C538">
        <f t="shared" si="32"/>
        <v>0.00124959650086426</v>
      </c>
      <c r="D538">
        <f t="shared" si="35"/>
        <v>7.16209600550228e-5</v>
      </c>
      <c r="E538">
        <f t="shared" si="33"/>
        <v>0.000117529967009448</v>
      </c>
      <c r="F538">
        <f t="shared" si="34"/>
        <v>2.10763691954151e-9</v>
      </c>
    </row>
    <row r="539" spans="1:6">
      <c r="A539">
        <v>1.5409</v>
      </c>
      <c r="B539">
        <v>1426.63</v>
      </c>
      <c r="C539">
        <f t="shared" si="32"/>
        <v>0.000897622063229114</v>
      </c>
      <c r="D539">
        <f t="shared" si="35"/>
        <v>3.65912257349975e-5</v>
      </c>
      <c r="E539">
        <f t="shared" si="33"/>
        <v>0.000116795314806718</v>
      </c>
      <c r="F539">
        <f t="shared" si="34"/>
        <v>6.43269590382443e-9</v>
      </c>
    </row>
    <row r="540" spans="1:6">
      <c r="A540">
        <v>1.5447</v>
      </c>
      <c r="B540">
        <v>1413.4</v>
      </c>
      <c r="C540">
        <f t="shared" si="32"/>
        <v>-0.00931687038612477</v>
      </c>
      <c r="D540">
        <f t="shared" si="35"/>
        <v>1.86984755516966e-5</v>
      </c>
      <c r="E540">
        <f t="shared" si="33"/>
        <v>0.000119313861505527</v>
      </c>
      <c r="F540">
        <f t="shared" si="34"/>
        <v>1.01234558906382e-8</v>
      </c>
    </row>
    <row r="541" spans="1:6">
      <c r="A541">
        <v>1.5536</v>
      </c>
      <c r="B541">
        <v>1390.71</v>
      </c>
      <c r="C541">
        <f t="shared" si="32"/>
        <v>-0.0161837411746142</v>
      </c>
      <c r="D541">
        <f t="shared" si="35"/>
        <v>5.27512746717727e-5</v>
      </c>
      <c r="E541">
        <f t="shared" si="33"/>
        <v>0.000145926374226249</v>
      </c>
      <c r="F541">
        <f t="shared" si="34"/>
        <v>8.68159917698659e-9</v>
      </c>
    </row>
    <row r="542" spans="1:6">
      <c r="A542">
        <v>1.5509</v>
      </c>
      <c r="B542">
        <v>1394.35</v>
      </c>
      <c r="C542">
        <f t="shared" si="32"/>
        <v>0.00261394876418741</v>
      </c>
      <c r="D542">
        <f t="shared" si="35"/>
        <v>0.000157332376539338</v>
      </c>
      <c r="E542">
        <f t="shared" si="33"/>
        <v>0.000139472228148975</v>
      </c>
      <c r="F542">
        <f t="shared" si="34"/>
        <v>3.18984900525796e-10</v>
      </c>
    </row>
    <row r="543" spans="1:6">
      <c r="A543">
        <v>1.5467</v>
      </c>
      <c r="B543">
        <v>1375.93</v>
      </c>
      <c r="C543">
        <f t="shared" si="32"/>
        <v>-0.0132984907400902</v>
      </c>
      <c r="D543">
        <f t="shared" si="35"/>
        <v>8.20825523405673e-5</v>
      </c>
      <c r="E543">
        <f t="shared" si="33"/>
        <v>0.000138911080948024</v>
      </c>
      <c r="F543">
        <f t="shared" si="34"/>
        <v>3.22948166368856e-9</v>
      </c>
    </row>
    <row r="544" spans="1:6">
      <c r="A544">
        <v>1.5492</v>
      </c>
      <c r="B544">
        <v>1385.35</v>
      </c>
      <c r="C544">
        <f t="shared" si="32"/>
        <v>0.00682294917124679</v>
      </c>
      <c r="D544">
        <f t="shared" si="35"/>
        <v>0.000129466204152416</v>
      </c>
      <c r="E544">
        <f t="shared" si="33"/>
        <v>0.000136481465827689</v>
      </c>
      <c r="F544">
        <f t="shared" si="34"/>
        <v>4.92138963725511e-11</v>
      </c>
    </row>
    <row r="545" spans="1:6">
      <c r="A545">
        <v>1.5591</v>
      </c>
      <c r="B545">
        <v>1390.84</v>
      </c>
      <c r="C545">
        <f t="shared" si="32"/>
        <v>0.00395506586830363</v>
      </c>
      <c r="D545">
        <f t="shared" si="35"/>
        <v>8.80094197729167e-5</v>
      </c>
      <c r="E545">
        <f t="shared" si="33"/>
        <v>0.000141837434768069</v>
      </c>
      <c r="F545">
        <f t="shared" si="34"/>
        <v>2.89745519831831e-9</v>
      </c>
    </row>
    <row r="546" spans="1:6">
      <c r="A546">
        <v>1.5516</v>
      </c>
      <c r="B546">
        <v>1398.26</v>
      </c>
      <c r="C546">
        <f t="shared" si="32"/>
        <v>0.00532072532722488</v>
      </c>
      <c r="D546">
        <f t="shared" si="35"/>
        <v>5.18259828977685e-5</v>
      </c>
      <c r="E546">
        <f t="shared" si="33"/>
        <v>0.000140422452561171</v>
      </c>
      <c r="F546">
        <f t="shared" si="34"/>
        <v>7.8493344368182e-9</v>
      </c>
    </row>
    <row r="547" spans="1:6">
      <c r="A547">
        <v>1.5667</v>
      </c>
      <c r="B547">
        <v>1400.38</v>
      </c>
      <c r="C547">
        <f t="shared" si="32"/>
        <v>0.00151502187169583</v>
      </c>
      <c r="D547">
        <f t="shared" si="35"/>
        <v>4.00680504527704e-5</v>
      </c>
      <c r="E547">
        <f t="shared" si="33"/>
        <v>0.000137755883418167</v>
      </c>
      <c r="F547">
        <f t="shared" si="34"/>
        <v>9.54291270947515e-9</v>
      </c>
    </row>
    <row r="548" spans="1:6">
      <c r="A548">
        <v>1.5772</v>
      </c>
      <c r="B548">
        <v>1385.67</v>
      </c>
      <c r="C548">
        <f t="shared" si="32"/>
        <v>-0.0105598511821261</v>
      </c>
      <c r="D548">
        <f t="shared" si="35"/>
        <v>2.11816708622436e-5</v>
      </c>
      <c r="E548">
        <f t="shared" si="33"/>
        <v>0.000154002413474638</v>
      </c>
      <c r="F548">
        <f t="shared" si="34"/>
        <v>1.76413496681078e-8</v>
      </c>
    </row>
    <row r="549" spans="1:6">
      <c r="A549">
        <v>1.5703</v>
      </c>
      <c r="B549">
        <v>1377.65</v>
      </c>
      <c r="C549">
        <f t="shared" si="32"/>
        <v>-0.00580462814195632</v>
      </c>
      <c r="D549">
        <f t="shared" si="35"/>
        <v>6.63460639254468e-5</v>
      </c>
      <c r="E549">
        <f t="shared" si="33"/>
        <v>0.000166894314709785</v>
      </c>
      <c r="F549">
        <f t="shared" si="34"/>
        <v>1.01099507357901e-8</v>
      </c>
    </row>
    <row r="550" spans="1:6">
      <c r="A550">
        <v>1.5784</v>
      </c>
      <c r="B550">
        <v>1377.2</v>
      </c>
      <c r="C550">
        <f t="shared" si="32"/>
        <v>-0.000326696556257121</v>
      </c>
      <c r="D550">
        <f t="shared" si="35"/>
        <v>5.0019885895919e-5</v>
      </c>
      <c r="E550">
        <f t="shared" si="33"/>
        <v>0.000171452303556641</v>
      </c>
      <c r="F550">
        <f t="shared" si="34"/>
        <v>1.4745832058928e-8</v>
      </c>
    </row>
    <row r="551" spans="1:6">
      <c r="A551">
        <v>1.5731</v>
      </c>
      <c r="B551">
        <v>1404.05</v>
      </c>
      <c r="C551">
        <f t="shared" si="32"/>
        <v>0.019308465022889</v>
      </c>
      <c r="D551">
        <f t="shared" si="35"/>
        <v>2.50633082678946e-5</v>
      </c>
      <c r="E551">
        <f t="shared" si="33"/>
        <v>0.000173093786513222</v>
      </c>
      <c r="F551">
        <f t="shared" si="34"/>
        <v>2.19130224895404e-8</v>
      </c>
    </row>
    <row r="552" spans="1:6">
      <c r="A552">
        <v>1.5628</v>
      </c>
      <c r="B552">
        <v>1360.68</v>
      </c>
      <c r="C552">
        <f t="shared" si="32"/>
        <v>-0.0313763427155088</v>
      </c>
      <c r="D552">
        <f t="shared" si="35"/>
        <v>0.000198940064904011</v>
      </c>
      <c r="E552">
        <f t="shared" si="33"/>
        <v>0.000151033183027933</v>
      </c>
      <c r="F552">
        <f t="shared" si="34"/>
        <v>2.29506933108849e-9</v>
      </c>
    </row>
    <row r="553" spans="1:6">
      <c r="A553">
        <v>1.5527</v>
      </c>
      <c r="B553">
        <v>1361.76</v>
      </c>
      <c r="C553">
        <f t="shared" si="32"/>
        <v>0.000793405956902187</v>
      </c>
      <c r="D553">
        <f t="shared" si="35"/>
        <v>0.000591707473552537</v>
      </c>
      <c r="E553">
        <f t="shared" si="33"/>
        <v>0.00012421920258617</v>
      </c>
      <c r="F553">
        <f t="shared" si="34"/>
        <v>2.18545283491123e-7</v>
      </c>
    </row>
    <row r="554" spans="1:6">
      <c r="A554">
        <v>1.556</v>
      </c>
      <c r="B554">
        <v>1358.44</v>
      </c>
      <c r="C554">
        <f t="shared" si="32"/>
        <v>-0.00244099819756664</v>
      </c>
      <c r="D554">
        <f t="shared" si="35"/>
        <v>0.000296168483282492</v>
      </c>
      <c r="E554">
        <f t="shared" si="33"/>
        <v>0.000156176757622092</v>
      </c>
      <c r="F554">
        <f t="shared" si="34"/>
        <v>1.95976832533767e-8</v>
      </c>
    </row>
    <row r="555" spans="1:6">
      <c r="A555">
        <v>1.555</v>
      </c>
      <c r="B555">
        <v>1335.49</v>
      </c>
      <c r="C555">
        <f t="shared" si="32"/>
        <v>-0.0170387168413752</v>
      </c>
      <c r="D555">
        <f t="shared" si="35"/>
        <v>0.000151063477741508</v>
      </c>
      <c r="E555">
        <f t="shared" si="33"/>
        <v>0.000165277805032972</v>
      </c>
      <c r="F555">
        <f t="shared" si="34"/>
        <v>2.02047100348852e-10</v>
      </c>
    </row>
    <row r="556" spans="1:6">
      <c r="A556">
        <v>1.5454</v>
      </c>
      <c r="B556">
        <v>1339.87</v>
      </c>
      <c r="C556">
        <f t="shared" si="32"/>
        <v>0.00327432862362244</v>
      </c>
      <c r="D556">
        <f t="shared" si="35"/>
        <v>0.000220690674671035</v>
      </c>
      <c r="E556">
        <f t="shared" si="33"/>
        <v>0.000157203002350621</v>
      </c>
      <c r="F556">
        <f t="shared" si="34"/>
        <v>4.03068453666434e-9</v>
      </c>
    </row>
    <row r="557" spans="1:6">
      <c r="A557">
        <v>1.5453</v>
      </c>
      <c r="B557">
        <v>1360.03</v>
      </c>
      <c r="C557">
        <f t="shared" si="32"/>
        <v>0.0149341639970033</v>
      </c>
      <c r="D557">
        <f t="shared" si="35"/>
        <v>0.000115705951303254</v>
      </c>
      <c r="E557">
        <f t="shared" si="33"/>
        <v>0.000156086933470814</v>
      </c>
      <c r="F557">
        <f t="shared" si="34"/>
        <v>1.63062372081677e-9</v>
      </c>
    </row>
    <row r="558" spans="1:6">
      <c r="A558">
        <v>1.556</v>
      </c>
      <c r="B558">
        <v>1360.14</v>
      </c>
      <c r="C558">
        <f t="shared" si="32"/>
        <v>8.08772981542075e-5</v>
      </c>
      <c r="D558">
        <f t="shared" si="35"/>
        <v>0.000169367602796322</v>
      </c>
      <c r="E558">
        <f t="shared" si="33"/>
        <v>0.00015405676557407</v>
      </c>
      <c r="F558">
        <f t="shared" si="34"/>
        <v>2.34421736446295e-10</v>
      </c>
    </row>
    <row r="559" spans="1:6">
      <c r="A559">
        <v>1.5731</v>
      </c>
      <c r="B559">
        <v>1350.93</v>
      </c>
      <c r="C559">
        <f t="shared" si="32"/>
        <v>-0.00679439146215697</v>
      </c>
      <c r="D559">
        <f t="shared" si="35"/>
        <v>8.46870719668393e-5</v>
      </c>
      <c r="E559">
        <f t="shared" si="33"/>
        <v>0.000155460706114089</v>
      </c>
      <c r="F559">
        <f t="shared" si="34"/>
        <v>5.00890729040873e-9</v>
      </c>
    </row>
    <row r="560" spans="1:6">
      <c r="A560">
        <v>1.5718</v>
      </c>
      <c r="B560">
        <v>1337.81</v>
      </c>
      <c r="C560">
        <f t="shared" si="32"/>
        <v>-0.00975929553107404</v>
      </c>
      <c r="D560">
        <f t="shared" si="35"/>
        <v>6.54254136539354e-5</v>
      </c>
      <c r="E560">
        <f t="shared" si="33"/>
        <v>0.000172070398422659</v>
      </c>
      <c r="F560">
        <f t="shared" si="34"/>
        <v>1.13731527763213e-8</v>
      </c>
    </row>
    <row r="561" spans="1:6">
      <c r="A561">
        <v>1.5473</v>
      </c>
      <c r="B561">
        <v>1342.83</v>
      </c>
      <c r="C561">
        <f t="shared" si="32"/>
        <v>0.00374537861728572</v>
      </c>
      <c r="D561">
        <f t="shared" si="35"/>
        <v>8.03346314583886e-5</v>
      </c>
      <c r="E561">
        <f t="shared" si="33"/>
        <v>0.000171892895039415</v>
      </c>
      <c r="F561">
        <f t="shared" si="34"/>
        <v>8.38291562997276e-9</v>
      </c>
    </row>
    <row r="562" spans="1:6">
      <c r="A562">
        <v>1.5562</v>
      </c>
      <c r="B562">
        <v>1317.93</v>
      </c>
      <c r="C562">
        <f t="shared" si="32"/>
        <v>-0.0187170033544181</v>
      </c>
      <c r="D562">
        <f t="shared" si="35"/>
        <v>4.71812462226048e-5</v>
      </c>
      <c r="E562">
        <f t="shared" si="33"/>
        <v>0.000180371858374856</v>
      </c>
      <c r="F562">
        <f t="shared" si="34"/>
        <v>1.77397391654915e-8</v>
      </c>
    </row>
    <row r="563" spans="1:6">
      <c r="A563">
        <v>1.5418</v>
      </c>
      <c r="B563">
        <v>1318</v>
      </c>
      <c r="C563">
        <f t="shared" si="32"/>
        <v>5.31121843268333e-5</v>
      </c>
      <c r="D563">
        <f t="shared" si="35"/>
        <v>0.000198753730395952</v>
      </c>
      <c r="E563">
        <f t="shared" si="33"/>
        <v>0.000195824382767773</v>
      </c>
      <c r="F563">
        <f t="shared" si="34"/>
        <v>8.58107752671758e-12</v>
      </c>
    </row>
    <row r="564" spans="1:6">
      <c r="A564">
        <v>1.5368</v>
      </c>
      <c r="B564">
        <v>1314.29</v>
      </c>
      <c r="C564">
        <f t="shared" si="32"/>
        <v>-0.00281884021638558</v>
      </c>
      <c r="D564">
        <f t="shared" si="35"/>
        <v>9.93782756500378e-5</v>
      </c>
      <c r="E564">
        <f t="shared" si="33"/>
        <v>0.000208492850267782</v>
      </c>
      <c r="F564">
        <f t="shared" si="34"/>
        <v>1.19059903940112e-8</v>
      </c>
    </row>
    <row r="565" spans="1:6">
      <c r="A565">
        <v>1.5472</v>
      </c>
      <c r="B565">
        <v>1321.97</v>
      </c>
      <c r="C565">
        <f t="shared" si="32"/>
        <v>0.00582645241851596</v>
      </c>
      <c r="D565">
        <f t="shared" si="35"/>
        <v>5.36620679077752e-5</v>
      </c>
      <c r="E565">
        <f t="shared" si="33"/>
        <v>0.0002141796872985</v>
      </c>
      <c r="F565">
        <f t="shared" si="34"/>
        <v>2.57659061348654e-8</v>
      </c>
    </row>
    <row r="566" spans="1:6">
      <c r="A566">
        <v>1.5519</v>
      </c>
      <c r="B566">
        <v>1283.15</v>
      </c>
      <c r="C566">
        <f t="shared" si="32"/>
        <v>-0.0298050559987732</v>
      </c>
      <c r="D566">
        <f t="shared" si="35"/>
        <v>4.38048078465029e-5</v>
      </c>
      <c r="E566">
        <f t="shared" si="33"/>
        <v>0.000212595707245219</v>
      </c>
      <c r="F566">
        <f t="shared" si="34"/>
        <v>2.84903677198276e-8</v>
      </c>
    </row>
    <row r="567" spans="1:6">
      <c r="A567">
        <v>1.5502</v>
      </c>
      <c r="B567">
        <v>1278.38</v>
      </c>
      <c r="C567">
        <f t="shared" si="32"/>
        <v>-0.00372434093187122</v>
      </c>
      <c r="D567">
        <f t="shared" si="35"/>
        <v>0.000466073085468255</v>
      </c>
      <c r="E567">
        <f t="shared" si="33"/>
        <v>0.000182697985846173</v>
      </c>
      <c r="F567">
        <f t="shared" si="34"/>
        <v>8.03014470858247e-8</v>
      </c>
    </row>
    <row r="568" spans="1:6">
      <c r="A568">
        <v>1.5502</v>
      </c>
      <c r="B568">
        <v>1280</v>
      </c>
      <c r="C568">
        <f t="shared" si="32"/>
        <v>0.0012664265797245</v>
      </c>
      <c r="D568">
        <f t="shared" si="35"/>
        <v>0.000239971900422533</v>
      </c>
      <c r="E568">
        <f t="shared" si="33"/>
        <v>0.000215289873855378</v>
      </c>
      <c r="F568">
        <f t="shared" si="34"/>
        <v>6.09202435461762e-10</v>
      </c>
    </row>
    <row r="569" spans="1:6">
      <c r="A569">
        <v>1.5626</v>
      </c>
      <c r="B569">
        <v>1284.91</v>
      </c>
      <c r="C569">
        <f t="shared" si="32"/>
        <v>0.00382859905231257</v>
      </c>
      <c r="D569">
        <f t="shared" si="35"/>
        <v>0.000120787868352183</v>
      </c>
      <c r="E569">
        <f t="shared" si="33"/>
        <v>0.000215635128302054</v>
      </c>
      <c r="F569">
        <f t="shared" si="34"/>
        <v>8.99600271999846e-9</v>
      </c>
    </row>
    <row r="570" spans="1:6">
      <c r="A570">
        <v>1.5492</v>
      </c>
      <c r="B570">
        <v>1261.52</v>
      </c>
      <c r="C570">
        <f t="shared" si="32"/>
        <v>-0.0183713338686439</v>
      </c>
      <c r="D570">
        <f t="shared" si="35"/>
        <v>6.77230195277758e-5</v>
      </c>
      <c r="E570">
        <f t="shared" si="33"/>
        <v>0.000227891204257097</v>
      </c>
      <c r="F570">
        <f t="shared" si="34"/>
        <v>2.5653847399486e-8</v>
      </c>
    </row>
    <row r="571" spans="1:6">
      <c r="A571">
        <v>1.5591</v>
      </c>
      <c r="B571">
        <v>1262.9</v>
      </c>
      <c r="C571">
        <f t="shared" si="32"/>
        <v>0.00109332055479303</v>
      </c>
      <c r="D571">
        <f t="shared" si="35"/>
        <v>0.000202614463820479</v>
      </c>
      <c r="E571">
        <f t="shared" si="33"/>
        <v>0.00023588821434193</v>
      </c>
      <c r="F571">
        <f t="shared" si="34"/>
        <v>1.10714247376375e-9</v>
      </c>
    </row>
    <row r="572" spans="1:6">
      <c r="A572">
        <v>1.557</v>
      </c>
      <c r="B572">
        <v>1252.31</v>
      </c>
      <c r="C572">
        <f t="shared" si="32"/>
        <v>-0.00842081780698511</v>
      </c>
      <c r="D572">
        <f t="shared" si="35"/>
        <v>0.000101904906828006</v>
      </c>
      <c r="E572">
        <f t="shared" si="33"/>
        <v>0.000237215190221124</v>
      </c>
      <c r="F572">
        <f t="shared" si="34"/>
        <v>1.83088727919258e-8</v>
      </c>
    </row>
    <row r="573" spans="1:6">
      <c r="A573">
        <v>1.5738</v>
      </c>
      <c r="B573">
        <v>1273.7</v>
      </c>
      <c r="C573">
        <f t="shared" si="32"/>
        <v>0.0169362047505745</v>
      </c>
      <c r="D573">
        <f t="shared" si="35"/>
        <v>8.64075396832218e-5</v>
      </c>
      <c r="E573">
        <f t="shared" si="33"/>
        <v>0.000240613659956642</v>
      </c>
      <c r="F573">
        <f t="shared" si="34"/>
        <v>2.37795275297806e-8</v>
      </c>
    </row>
    <row r="574" spans="1:6">
      <c r="A574">
        <v>1.5749</v>
      </c>
      <c r="B574">
        <v>1244.69</v>
      </c>
      <c r="C574">
        <f t="shared" si="32"/>
        <v>-0.0230395476854884</v>
      </c>
      <c r="D574">
        <f t="shared" si="35"/>
        <v>0.000186621285518302</v>
      </c>
      <c r="E574">
        <f t="shared" si="33"/>
        <v>0.000230666945245708</v>
      </c>
      <c r="F574">
        <f t="shared" si="34"/>
        <v>1.94002014082244e-9</v>
      </c>
    </row>
    <row r="575" spans="1:6">
      <c r="A575">
        <v>1.5748</v>
      </c>
      <c r="B575">
        <v>1253.39</v>
      </c>
      <c r="C575">
        <f t="shared" si="32"/>
        <v>0.00696537754949621</v>
      </c>
      <c r="D575">
        <f t="shared" si="35"/>
        <v>0.000358721021535098</v>
      </c>
      <c r="E575">
        <f t="shared" si="33"/>
        <v>0.000208560808343788</v>
      </c>
      <c r="F575">
        <f t="shared" si="34"/>
        <v>2.25480896256595e-8</v>
      </c>
    </row>
    <row r="576" spans="1:6">
      <c r="A576">
        <v>1.5778</v>
      </c>
      <c r="B576">
        <v>1239.49</v>
      </c>
      <c r="C576">
        <f t="shared" si="32"/>
        <v>-0.011151875786283</v>
      </c>
      <c r="D576">
        <f t="shared" si="35"/>
        <v>0.000203618752971062</v>
      </c>
      <c r="E576">
        <f t="shared" si="33"/>
        <v>0.000207608108284579</v>
      </c>
      <c r="F576">
        <f t="shared" si="34"/>
        <v>1.59149558174848e-11</v>
      </c>
    </row>
    <row r="577" spans="1:6">
      <c r="A577">
        <v>1.5869</v>
      </c>
      <c r="B577">
        <v>1228.3</v>
      </c>
      <c r="C577">
        <f t="shared" si="32"/>
        <v>-0.00906890512839018</v>
      </c>
      <c r="D577">
        <f t="shared" si="35"/>
        <v>0.000163991543261873</v>
      </c>
      <c r="E577">
        <f t="shared" si="33"/>
        <v>0.000212304460532851</v>
      </c>
      <c r="F577">
        <f t="shared" si="34"/>
        <v>2.33413797523231e-9</v>
      </c>
    </row>
    <row r="578" spans="1:6">
      <c r="A578">
        <v>1.5708</v>
      </c>
      <c r="B578">
        <v>1214.91</v>
      </c>
      <c r="C578">
        <f t="shared" si="32"/>
        <v>-0.0109610995880936</v>
      </c>
      <c r="D578">
        <f t="shared" si="35"/>
        <v>0.000123118291744808</v>
      </c>
      <c r="E578">
        <f t="shared" si="33"/>
        <v>0.000212545497891945</v>
      </c>
      <c r="F578">
        <f t="shared" si="34"/>
        <v>7.99722519928259e-9</v>
      </c>
    </row>
    <row r="579" spans="1:6">
      <c r="A579">
        <v>1.5646</v>
      </c>
      <c r="B579">
        <v>1245.36</v>
      </c>
      <c r="C579">
        <f t="shared" si="32"/>
        <v>0.0247546447706388</v>
      </c>
      <c r="D579">
        <f t="shared" si="35"/>
        <v>0.000121631997962457</v>
      </c>
      <c r="E579">
        <f t="shared" si="33"/>
        <v>0.000207191502258766</v>
      </c>
      <c r="F579">
        <f t="shared" si="34"/>
        <v>7.3204287754302e-9</v>
      </c>
    </row>
    <row r="580" spans="1:6">
      <c r="A580">
        <v>1.5653</v>
      </c>
      <c r="B580">
        <v>1260.32</v>
      </c>
      <c r="C580">
        <f t="shared" ref="C580:C643" si="36">LN(B580/B579)</f>
        <v>0.0119410122274204</v>
      </c>
      <c r="D580">
        <f t="shared" si="35"/>
        <v>0.000367212217841486</v>
      </c>
      <c r="E580">
        <f t="shared" ref="E580:E643" si="37">_xlfn.VAR.S(C580:C605)</f>
        <v>0.000185447917376159</v>
      </c>
      <c r="F580">
        <f t="shared" ref="F580:F643" si="38">(D580-E580)^2</f>
        <v>3.30382609236497e-8</v>
      </c>
    </row>
    <row r="581" spans="1:6">
      <c r="A581">
        <v>1.5744</v>
      </c>
      <c r="B581">
        <v>1260.68</v>
      </c>
      <c r="C581">
        <f t="shared" si="36"/>
        <v>0.00028560095394466</v>
      </c>
      <c r="D581">
        <f t="shared" ref="D581:D644" si="39">$H$1*D580+(1-$H$1)*C580^2</f>
        <v>0.000254899995428445</v>
      </c>
      <c r="E581">
        <f t="shared" si="37"/>
        <v>0.00018487632961138</v>
      </c>
      <c r="F581">
        <f t="shared" si="38"/>
        <v>4.90331377445992e-9</v>
      </c>
    </row>
    <row r="582" spans="1:6">
      <c r="A582">
        <v>1.5771</v>
      </c>
      <c r="B582">
        <v>1260</v>
      </c>
      <c r="C582">
        <f t="shared" si="36"/>
        <v>-0.000539536963435066</v>
      </c>
      <c r="D582">
        <f t="shared" si="39"/>
        <v>0.000127490781666669</v>
      </c>
      <c r="E582">
        <f t="shared" si="37"/>
        <v>0.000201510773628512</v>
      </c>
      <c r="F582">
        <f t="shared" si="38"/>
        <v>5.47895921003131e-9</v>
      </c>
    </row>
    <row r="583" spans="1:6">
      <c r="A583">
        <v>1.5898</v>
      </c>
      <c r="B583">
        <v>1277</v>
      </c>
      <c r="C583">
        <f t="shared" si="36"/>
        <v>0.0134018560870156</v>
      </c>
      <c r="D583">
        <f t="shared" si="39"/>
        <v>6.3890940900791e-5</v>
      </c>
      <c r="E583">
        <f t="shared" si="37"/>
        <v>0.000201950032165363</v>
      </c>
      <c r="F583">
        <f t="shared" si="38"/>
        <v>1.90603126807994e-8</v>
      </c>
    </row>
    <row r="584" spans="1:6">
      <c r="A584">
        <v>1.5914</v>
      </c>
      <c r="B584">
        <v>1282.19</v>
      </c>
      <c r="C584">
        <f t="shared" si="36"/>
        <v>0.00405597639489968</v>
      </c>
      <c r="D584">
        <f t="shared" si="39"/>
        <v>0.000121750343738934</v>
      </c>
      <c r="E584">
        <f t="shared" si="37"/>
        <v>0.000197401145784447</v>
      </c>
      <c r="F584">
        <f t="shared" si="38"/>
        <v>5.72304385012935e-9</v>
      </c>
    </row>
    <row r="585" spans="1:6">
      <c r="A585">
        <v>1.5923</v>
      </c>
      <c r="B585">
        <v>1252.54</v>
      </c>
      <c r="C585">
        <f t="shared" si="36"/>
        <v>-0.0233960638506219</v>
      </c>
      <c r="D585">
        <f t="shared" si="39"/>
        <v>6.91006441274587e-5</v>
      </c>
      <c r="E585">
        <f t="shared" si="37"/>
        <v>0.000205128346045423</v>
      </c>
      <c r="F585">
        <f t="shared" si="38"/>
        <v>1.85035356890826e-8</v>
      </c>
    </row>
    <row r="586" spans="1:6">
      <c r="A586">
        <v>1.5847</v>
      </c>
      <c r="B586">
        <v>1257.76</v>
      </c>
      <c r="C586">
        <f t="shared" si="36"/>
        <v>0.00415887146862918</v>
      </c>
      <c r="D586">
        <f t="shared" si="39"/>
        <v>0.000308238223914918</v>
      </c>
      <c r="E586">
        <f t="shared" si="37"/>
        <v>0.00019030844889715</v>
      </c>
      <c r="F586">
        <f t="shared" si="38"/>
        <v>1.39074318357414e-8</v>
      </c>
    </row>
    <row r="587" spans="1:6">
      <c r="A587">
        <v>1.5861</v>
      </c>
      <c r="B587">
        <v>1234.37</v>
      </c>
      <c r="C587">
        <f t="shared" si="36"/>
        <v>-0.018771642597075</v>
      </c>
      <c r="D587">
        <f t="shared" si="39"/>
        <v>0.000162767217903748</v>
      </c>
      <c r="E587">
        <f t="shared" si="37"/>
        <v>0.000190791626216348</v>
      </c>
      <c r="F587">
        <f t="shared" si="38"/>
        <v>7.85367461271348e-10</v>
      </c>
    </row>
    <row r="588" spans="1:6">
      <c r="A588">
        <v>1.5855</v>
      </c>
      <c r="B588">
        <v>1263.2</v>
      </c>
      <c r="C588">
        <f t="shared" si="36"/>
        <v>0.023087465493061</v>
      </c>
      <c r="D588">
        <f t="shared" si="39"/>
        <v>0.000257570891848034</v>
      </c>
      <c r="E588">
        <f t="shared" si="37"/>
        <v>0.000175626739216056</v>
      </c>
      <c r="F588">
        <f t="shared" si="38"/>
        <v>6.71484415057295e-9</v>
      </c>
    </row>
    <row r="589" spans="1:6">
      <c r="A589">
        <v>1.5877</v>
      </c>
      <c r="B589">
        <v>1284.26</v>
      </c>
      <c r="C589">
        <f t="shared" si="36"/>
        <v>0.0165344930215314</v>
      </c>
      <c r="D589">
        <f t="shared" si="39"/>
        <v>0.000395300977370658</v>
      </c>
      <c r="E589">
        <f t="shared" si="37"/>
        <v>0.00019214773775784</v>
      </c>
      <c r="F589">
        <f t="shared" si="38"/>
        <v>4.12712387651831e-8</v>
      </c>
    </row>
    <row r="590" spans="1:6">
      <c r="A590">
        <v>1.5811</v>
      </c>
      <c r="B590">
        <v>1267.38</v>
      </c>
      <c r="C590">
        <f t="shared" si="36"/>
        <v>-0.0132308995357571</v>
      </c>
      <c r="D590">
        <f t="shared" si="39"/>
        <v>0.000334345218424864</v>
      </c>
      <c r="E590">
        <f t="shared" si="37"/>
        <v>0.000180981856527543</v>
      </c>
      <c r="F590">
        <f t="shared" si="38"/>
        <v>2.35203207724488e-8</v>
      </c>
    </row>
    <row r="591" spans="1:6">
      <c r="A591">
        <v>1.5708</v>
      </c>
      <c r="B591">
        <v>1260.31</v>
      </c>
      <c r="C591">
        <f t="shared" si="36"/>
        <v>-0.00559405499649797</v>
      </c>
      <c r="D591">
        <f t="shared" si="39"/>
        <v>0.000254700960475081</v>
      </c>
      <c r="E591">
        <f t="shared" si="37"/>
        <v>0.000192164164338967</v>
      </c>
      <c r="F591">
        <f t="shared" si="38"/>
        <v>3.91085087096983e-9</v>
      </c>
    </row>
    <row r="592" spans="1:6">
      <c r="A592">
        <v>1.5657</v>
      </c>
      <c r="B592">
        <v>1249.01</v>
      </c>
      <c r="C592">
        <f t="shared" si="36"/>
        <v>-0.00900648493205802</v>
      </c>
      <c r="D592">
        <f t="shared" si="39"/>
        <v>0.000142997205889462</v>
      </c>
      <c r="E592">
        <f t="shared" si="37"/>
        <v>0.000237894339779429</v>
      </c>
      <c r="F592">
        <f t="shared" si="38"/>
        <v>9.0054660205303e-9</v>
      </c>
    </row>
    <row r="593" spans="1:6">
      <c r="A593">
        <v>1.5687</v>
      </c>
      <c r="B593">
        <v>1284.88</v>
      </c>
      <c r="C593">
        <f t="shared" si="36"/>
        <v>0.0283140912559913</v>
      </c>
      <c r="D593">
        <f t="shared" si="39"/>
        <v>0.000112056988360425</v>
      </c>
      <c r="E593">
        <f t="shared" si="37"/>
        <v>0.000237142680935468</v>
      </c>
      <c r="F593">
        <f t="shared" si="38"/>
        <v>1.5646430486978e-8</v>
      </c>
    </row>
    <row r="594" spans="1:6">
      <c r="A594">
        <v>1.5747</v>
      </c>
      <c r="B594">
        <v>1289.19</v>
      </c>
      <c r="C594">
        <f t="shared" si="36"/>
        <v>0.00334878540818605</v>
      </c>
      <c r="D594">
        <f t="shared" si="39"/>
        <v>0.000456872376006514</v>
      </c>
      <c r="E594">
        <f t="shared" si="37"/>
        <v>0.000211653181686422</v>
      </c>
      <c r="F594">
        <f t="shared" si="38"/>
        <v>6.0132453262995e-8</v>
      </c>
    </row>
    <row r="595" spans="1:6">
      <c r="A595">
        <v>1.5588</v>
      </c>
      <c r="B595">
        <v>1266.07</v>
      </c>
      <c r="C595">
        <f t="shared" si="36"/>
        <v>-0.0180964997281834</v>
      </c>
      <c r="D595">
        <f t="shared" si="39"/>
        <v>0.000234043369858297</v>
      </c>
      <c r="E595">
        <f t="shared" si="37"/>
        <v>0.000211274963802012</v>
      </c>
      <c r="F595">
        <f t="shared" si="38"/>
        <v>5.18400314343856e-10</v>
      </c>
    </row>
    <row r="596" spans="1:6">
      <c r="A596">
        <v>1.5559</v>
      </c>
      <c r="B596">
        <v>1296.32</v>
      </c>
      <c r="C596">
        <f t="shared" si="36"/>
        <v>0.023611866579681</v>
      </c>
      <c r="D596">
        <f t="shared" si="39"/>
        <v>0.000280763336135219</v>
      </c>
      <c r="E596">
        <f t="shared" si="37"/>
        <v>0.000287282535171944</v>
      </c>
      <c r="F596">
        <f t="shared" si="38"/>
        <v>4.24999560804299e-11</v>
      </c>
    </row>
    <row r="597" spans="1:6">
      <c r="A597">
        <v>1.5589</v>
      </c>
      <c r="B597">
        <v>1305.32</v>
      </c>
      <c r="C597">
        <f t="shared" si="36"/>
        <v>0.00691874041120074</v>
      </c>
      <c r="D597">
        <f t="shared" si="39"/>
        <v>0.000419141789755938</v>
      </c>
      <c r="E597">
        <f t="shared" si="37"/>
        <v>0.000275846313618266</v>
      </c>
      <c r="F597">
        <f t="shared" si="38"/>
        <v>2.0533593481522e-8</v>
      </c>
    </row>
    <row r="598" spans="1:6">
      <c r="A598">
        <v>1.5567</v>
      </c>
      <c r="B598">
        <v>1289.59</v>
      </c>
      <c r="C598">
        <f t="shared" si="36"/>
        <v>-0.0121238830456593</v>
      </c>
      <c r="D598">
        <f t="shared" si="39"/>
        <v>0.00023350537931676</v>
      </c>
      <c r="E598">
        <f t="shared" si="37"/>
        <v>0.000351311382714839</v>
      </c>
      <c r="F598">
        <f t="shared" si="38"/>
        <v>1.38782544366281e-8</v>
      </c>
    </row>
    <row r="599" spans="1:6">
      <c r="A599">
        <v>1.5569</v>
      </c>
      <c r="B599">
        <v>1285.83</v>
      </c>
      <c r="C599">
        <f t="shared" si="36"/>
        <v>-0.00291991416658086</v>
      </c>
      <c r="D599">
        <f t="shared" si="39"/>
        <v>0.000190246959710793</v>
      </c>
      <c r="E599">
        <f t="shared" si="37"/>
        <v>0.000433196294450398</v>
      </c>
      <c r="F599">
        <f t="shared" si="38"/>
        <v>5.90243792504169e-8</v>
      </c>
    </row>
    <row r="600" spans="1:6">
      <c r="A600">
        <v>1.5468</v>
      </c>
      <c r="B600">
        <v>1292.93</v>
      </c>
      <c r="C600">
        <f t="shared" si="36"/>
        <v>0.00550653642872883</v>
      </c>
      <c r="D600">
        <f t="shared" si="39"/>
        <v>9.93864292254961e-5</v>
      </c>
      <c r="E600">
        <f t="shared" si="37"/>
        <v>0.000501083376665694</v>
      </c>
      <c r="F600">
        <f t="shared" si="38"/>
        <v>1.61360437582774e-7</v>
      </c>
    </row>
    <row r="601" spans="1:6">
      <c r="A601">
        <v>1.5409</v>
      </c>
      <c r="B601">
        <v>1298.2</v>
      </c>
      <c r="C601">
        <f t="shared" si="36"/>
        <v>0.00406772895735338</v>
      </c>
      <c r="D601">
        <f t="shared" si="39"/>
        <v>6.48541863332069e-5</v>
      </c>
      <c r="E601">
        <f t="shared" si="37"/>
        <v>0.000554309986656528</v>
      </c>
      <c r="F601">
        <f t="shared" si="38"/>
        <v>2.39566980470143e-7</v>
      </c>
    </row>
    <row r="602" spans="1:6">
      <c r="A602">
        <v>1.5341</v>
      </c>
      <c r="B602">
        <v>1278.6</v>
      </c>
      <c r="C602">
        <f t="shared" si="36"/>
        <v>-0.0152129602667418</v>
      </c>
      <c r="D602">
        <f t="shared" si="39"/>
        <v>4.0700302601849e-5</v>
      </c>
      <c r="E602">
        <f t="shared" si="37"/>
        <v>0.000558783383231819</v>
      </c>
      <c r="F602">
        <f t="shared" si="38"/>
        <v>2.6841007843504e-7</v>
      </c>
    </row>
    <row r="603" spans="1:6">
      <c r="A603">
        <v>1.5047</v>
      </c>
      <c r="B603">
        <v>1266.69</v>
      </c>
      <c r="C603">
        <f t="shared" si="36"/>
        <v>-0.00935853040329288</v>
      </c>
      <c r="D603">
        <f t="shared" si="39"/>
        <v>0.000136067231339657</v>
      </c>
      <c r="E603">
        <f t="shared" si="37"/>
        <v>0.000553017797309148</v>
      </c>
      <c r="F603">
        <f t="shared" si="38"/>
        <v>1.73847774462279e-7</v>
      </c>
    </row>
    <row r="604" spans="1:6">
      <c r="A604">
        <v>1.4958</v>
      </c>
      <c r="B604">
        <v>1274.54</v>
      </c>
      <c r="C604">
        <f t="shared" si="36"/>
        <v>0.00617813025114891</v>
      </c>
      <c r="D604">
        <f t="shared" si="39"/>
        <v>0.000111824661324507</v>
      </c>
      <c r="E604">
        <f t="shared" si="37"/>
        <v>0.000570070328682886</v>
      </c>
      <c r="F604">
        <f t="shared" si="38"/>
        <v>2.09989091652726e-7</v>
      </c>
    </row>
    <row r="605" spans="1:6">
      <c r="A605">
        <v>1.4905</v>
      </c>
      <c r="B605">
        <v>1277.72</v>
      </c>
      <c r="C605">
        <f t="shared" si="36"/>
        <v>0.00249191042099831</v>
      </c>
      <c r="D605">
        <f t="shared" si="39"/>
        <v>7.49969773623342e-5</v>
      </c>
      <c r="E605">
        <f t="shared" si="37"/>
        <v>0.000568587072022508</v>
      </c>
      <c r="F605">
        <f t="shared" si="38"/>
        <v>2.4363118154664e-7</v>
      </c>
    </row>
    <row r="606" spans="1:6">
      <c r="A606">
        <v>1.4895</v>
      </c>
      <c r="B606">
        <v>1292.2</v>
      </c>
      <c r="C606">
        <f t="shared" si="36"/>
        <v>0.0112689525225845</v>
      </c>
      <c r="D606">
        <f t="shared" si="39"/>
        <v>4.06032974543071e-5</v>
      </c>
      <c r="E606">
        <f t="shared" si="37"/>
        <v>0.00088015142633219</v>
      </c>
      <c r="F606">
        <f t="shared" si="38"/>
        <v>7.04841060702355e-7</v>
      </c>
    </row>
    <row r="607" spans="1:6">
      <c r="A607">
        <v>1.4856</v>
      </c>
      <c r="B607">
        <v>1266.84</v>
      </c>
      <c r="C607">
        <f t="shared" si="36"/>
        <v>-0.0198205813344615</v>
      </c>
      <c r="D607">
        <f t="shared" si="39"/>
        <v>8.37962942052853e-5</v>
      </c>
      <c r="E607">
        <f t="shared" si="37"/>
        <v>0.00100213701212623</v>
      </c>
      <c r="F607">
        <f t="shared" si="38"/>
        <v>8.43349674191554e-7</v>
      </c>
    </row>
    <row r="608" spans="1:6">
      <c r="A608">
        <v>1.4695</v>
      </c>
      <c r="B608">
        <v>1271.51</v>
      </c>
      <c r="C608">
        <f t="shared" si="36"/>
        <v>0.00367955976834454</v>
      </c>
      <c r="D608">
        <f t="shared" si="39"/>
        <v>0.000238325869320644</v>
      </c>
      <c r="E608">
        <f t="shared" si="37"/>
        <v>0.000991706714114837</v>
      </c>
      <c r="F608">
        <f t="shared" si="38"/>
        <v>5.67582697302811e-7</v>
      </c>
    </row>
    <row r="609" spans="1:6">
      <c r="A609">
        <v>1.473</v>
      </c>
      <c r="B609">
        <v>1281.66</v>
      </c>
      <c r="C609">
        <f t="shared" si="36"/>
        <v>0.00795094213969009</v>
      </c>
      <c r="D609">
        <f t="shared" si="39"/>
        <v>0.000125932514704732</v>
      </c>
      <c r="E609">
        <f t="shared" si="37"/>
        <v>0.00104370683584484</v>
      </c>
      <c r="F609">
        <f t="shared" si="38"/>
        <v>8.4230970454419e-7</v>
      </c>
    </row>
    <row r="610" spans="1:6">
      <c r="A610">
        <v>1.4746</v>
      </c>
      <c r="B610">
        <v>1300.68</v>
      </c>
      <c r="C610">
        <f t="shared" si="36"/>
        <v>0.0147310919180204</v>
      </c>
      <c r="D610">
        <f t="shared" si="39"/>
        <v>9.45749978067159e-5</v>
      </c>
      <c r="E610">
        <f t="shared" si="37"/>
        <v>0.00103910831874212</v>
      </c>
      <c r="F610">
        <f t="shared" si="38"/>
        <v>8.92143194357271e-7</v>
      </c>
    </row>
    <row r="611" spans="1:6">
      <c r="A611">
        <v>1.4701</v>
      </c>
      <c r="B611">
        <v>1282.83</v>
      </c>
      <c r="C611">
        <f t="shared" si="36"/>
        <v>-0.0138186297277393</v>
      </c>
      <c r="D611">
        <f t="shared" si="39"/>
        <v>0.000155790033451941</v>
      </c>
      <c r="E611">
        <f t="shared" si="37"/>
        <v>0.00106213757728932</v>
      </c>
      <c r="F611">
        <f t="shared" si="38"/>
        <v>8.2146587022005e-7</v>
      </c>
    </row>
    <row r="612" spans="1:6">
      <c r="A612">
        <v>1.4875</v>
      </c>
      <c r="B612">
        <v>1277.58</v>
      </c>
      <c r="C612">
        <f t="shared" si="36"/>
        <v>-0.00410091146155745</v>
      </c>
      <c r="D612">
        <f t="shared" si="39"/>
        <v>0.000173372280502151</v>
      </c>
      <c r="E612">
        <f t="shared" si="37"/>
        <v>0.00116216968114563</v>
      </c>
      <c r="F612">
        <f t="shared" si="38"/>
        <v>9.77720299519311e-7</v>
      </c>
    </row>
    <row r="613" spans="1:6">
      <c r="A613">
        <v>1.48</v>
      </c>
      <c r="B613">
        <v>1274.98</v>
      </c>
      <c r="C613">
        <f t="shared" si="36"/>
        <v>-0.00203717123137633</v>
      </c>
      <c r="D613">
        <f t="shared" si="39"/>
        <v>9.50948776588419e-5</v>
      </c>
      <c r="E613">
        <f t="shared" si="37"/>
        <v>0.00116093453716395</v>
      </c>
      <c r="F613">
        <f t="shared" si="38"/>
        <v>1.13601417977396e-6</v>
      </c>
    </row>
    <row r="614" spans="1:6">
      <c r="A614">
        <v>1.4803</v>
      </c>
      <c r="B614">
        <v>1236.83</v>
      </c>
      <c r="C614">
        <f t="shared" si="36"/>
        <v>-0.0303788375111139</v>
      </c>
      <c r="D614">
        <f t="shared" si="39"/>
        <v>4.96224721423946e-5</v>
      </c>
      <c r="E614">
        <f t="shared" si="37"/>
        <v>0.00134087734899462</v>
      </c>
      <c r="F614">
        <f t="shared" si="38"/>
        <v>1.66733915699465e-6</v>
      </c>
    </row>
    <row r="615" spans="1:6">
      <c r="A615">
        <v>1.466</v>
      </c>
      <c r="B615">
        <v>1242.31</v>
      </c>
      <c r="C615">
        <f t="shared" si="36"/>
        <v>0.0044208950888079</v>
      </c>
      <c r="D615">
        <f t="shared" si="39"/>
        <v>0.000486248120334528</v>
      </c>
      <c r="E615">
        <f t="shared" si="37"/>
        <v>0.00132828356772925</v>
      </c>
      <c r="F615">
        <f t="shared" si="38"/>
        <v>7.09023694669226e-7</v>
      </c>
    </row>
    <row r="616" spans="1:6">
      <c r="A616">
        <v>1.4684</v>
      </c>
      <c r="B616">
        <v>1267.79</v>
      </c>
      <c r="C616">
        <f t="shared" si="36"/>
        <v>0.0203026773668336</v>
      </c>
      <c r="D616">
        <f t="shared" si="39"/>
        <v>0.000252896216860387</v>
      </c>
      <c r="E616">
        <f t="shared" si="37"/>
        <v>0.00189387036722593</v>
      </c>
      <c r="F616">
        <f t="shared" si="38"/>
        <v>2.69279616216792e-6</v>
      </c>
    </row>
    <row r="617" spans="1:6">
      <c r="A617">
        <v>1.4685</v>
      </c>
      <c r="B617">
        <v>1224.51</v>
      </c>
      <c r="C617">
        <f t="shared" si="36"/>
        <v>-0.0347344631820258</v>
      </c>
      <c r="D617">
        <f t="shared" si="39"/>
        <v>0.000332547462561062</v>
      </c>
      <c r="E617">
        <f t="shared" si="37"/>
        <v>0.00186065717270306</v>
      </c>
      <c r="F617">
        <f t="shared" si="38"/>
        <v>2.33511928623025e-6</v>
      </c>
    </row>
    <row r="618" spans="1:6">
      <c r="A618">
        <v>1.4669</v>
      </c>
      <c r="B618">
        <v>1232.04</v>
      </c>
      <c r="C618">
        <f t="shared" si="36"/>
        <v>0.00613056814138603</v>
      </c>
      <c r="D618">
        <f t="shared" si="39"/>
        <v>0.000769515197552284</v>
      </c>
      <c r="E618">
        <f t="shared" si="37"/>
        <v>0.00212141000590762</v>
      </c>
      <c r="F618">
        <f t="shared" si="38"/>
        <v>1.8276195728581e-6</v>
      </c>
    </row>
    <row r="619" spans="1:6">
      <c r="A619">
        <v>1.4522</v>
      </c>
      <c r="B619">
        <v>1249.05</v>
      </c>
      <c r="C619">
        <f t="shared" si="36"/>
        <v>0.0137119302510643</v>
      </c>
      <c r="D619">
        <f t="shared" si="39"/>
        <v>0.000403549531644231</v>
      </c>
      <c r="E619">
        <f t="shared" si="37"/>
        <v>0.00221996978954632</v>
      </c>
      <c r="F619">
        <f t="shared" si="38"/>
        <v>3.2993825533171e-6</v>
      </c>
    </row>
    <row r="620" spans="1:6">
      <c r="A620">
        <v>1.4489</v>
      </c>
      <c r="B620">
        <v>1251.7</v>
      </c>
      <c r="C620">
        <f t="shared" si="36"/>
        <v>0.00211936498403997</v>
      </c>
      <c r="D620">
        <f t="shared" si="39"/>
        <v>0.000295783281427141</v>
      </c>
      <c r="E620">
        <f t="shared" si="37"/>
        <v>0.00219720659253821</v>
      </c>
      <c r="F620">
        <f t="shared" si="38"/>
        <v>3.61541060803658e-6</v>
      </c>
    </row>
    <row r="621" spans="1:6">
      <c r="A621">
        <v>1.436</v>
      </c>
      <c r="B621">
        <v>1192.7</v>
      </c>
      <c r="C621">
        <f t="shared" si="36"/>
        <v>-0.0482829827493544</v>
      </c>
      <c r="D621">
        <f t="shared" si="39"/>
        <v>0.000150137494681358</v>
      </c>
      <c r="E621">
        <f t="shared" si="37"/>
        <v>0.0023195934217191</v>
      </c>
      <c r="F621">
        <f t="shared" si="38"/>
        <v>4.70653901935919e-6</v>
      </c>
    </row>
    <row r="622" spans="1:6">
      <c r="A622">
        <v>1.4273</v>
      </c>
      <c r="B622">
        <v>1213.6</v>
      </c>
      <c r="C622">
        <f t="shared" si="36"/>
        <v>0.017371504449699</v>
      </c>
      <c r="D622">
        <f t="shared" si="39"/>
        <v>0.00124069195892791</v>
      </c>
      <c r="E622">
        <f t="shared" si="37"/>
        <v>0.00227755825471347</v>
      </c>
      <c r="F622">
        <f t="shared" si="38"/>
        <v>1.07509171533608e-6</v>
      </c>
    </row>
    <row r="623" spans="1:6">
      <c r="A623">
        <v>1.4126</v>
      </c>
      <c r="B623">
        <v>1156.39</v>
      </c>
      <c r="C623">
        <f t="shared" si="36"/>
        <v>-0.0482880654563287</v>
      </c>
      <c r="D623">
        <f t="shared" si="39"/>
        <v>0.000771230562886909</v>
      </c>
      <c r="E623">
        <f t="shared" si="37"/>
        <v>0.00235916499531927</v>
      </c>
      <c r="F623">
        <f t="shared" si="38"/>
        <v>2.52153576170428e-6</v>
      </c>
    </row>
    <row r="624" spans="1:6">
      <c r="A624">
        <v>1.4173</v>
      </c>
      <c r="B624">
        <v>1206.51</v>
      </c>
      <c r="C624">
        <f t="shared" si="36"/>
        <v>0.0424288108903733</v>
      </c>
      <c r="D624">
        <f t="shared" si="39"/>
        <v>0.0015514839142008</v>
      </c>
      <c r="E624">
        <f t="shared" si="37"/>
        <v>0.00232314290075948</v>
      </c>
      <c r="F624">
        <f t="shared" si="38"/>
        <v>5.95457591536767e-7</v>
      </c>
    </row>
    <row r="625" spans="1:6">
      <c r="A625">
        <v>1.402</v>
      </c>
      <c r="B625">
        <v>1255.08</v>
      </c>
      <c r="C625">
        <f t="shared" si="36"/>
        <v>0.0394674210858101</v>
      </c>
      <c r="D625">
        <f t="shared" si="39"/>
        <v>0.00167584395388593</v>
      </c>
      <c r="E625">
        <f t="shared" si="37"/>
        <v>0.0022335500339005</v>
      </c>
      <c r="F625">
        <f t="shared" si="38"/>
        <v>3.11036071685217e-7</v>
      </c>
    </row>
    <row r="626" spans="1:6">
      <c r="A626">
        <v>1.3939</v>
      </c>
      <c r="B626">
        <v>1207.09</v>
      </c>
      <c r="C626">
        <f t="shared" si="36"/>
        <v>-0.0389868111991973</v>
      </c>
      <c r="D626">
        <f t="shared" si="39"/>
        <v>0.00161676064052529</v>
      </c>
      <c r="E626">
        <f t="shared" si="37"/>
        <v>0.00213452661889272</v>
      </c>
      <c r="F626">
        <f t="shared" si="38"/>
        <v>2.68081608354787e-7</v>
      </c>
    </row>
    <row r="627" spans="1:6">
      <c r="A627">
        <v>1.4172</v>
      </c>
      <c r="B627">
        <v>1188.22</v>
      </c>
      <c r="C627">
        <f t="shared" si="36"/>
        <v>-0.0157561153918641</v>
      </c>
      <c r="D627">
        <f t="shared" si="39"/>
        <v>0.00156836604400357</v>
      </c>
      <c r="E627">
        <f t="shared" si="37"/>
        <v>0.00263301244914657</v>
      </c>
      <c r="F627">
        <f t="shared" si="38"/>
        <v>1.13347196798391e-6</v>
      </c>
    </row>
    <row r="628" spans="1:6">
      <c r="A628">
        <v>1.4175</v>
      </c>
      <c r="B628">
        <v>1185.87</v>
      </c>
      <c r="C628">
        <f t="shared" si="36"/>
        <v>-0.0019797065549474</v>
      </c>
      <c r="D628">
        <f t="shared" si="39"/>
        <v>0.000908310608122655</v>
      </c>
      <c r="E628">
        <f t="shared" si="37"/>
        <v>0.00263155797385731</v>
      </c>
      <c r="F628">
        <f t="shared" si="38"/>
        <v>2.96958148351144e-6</v>
      </c>
    </row>
    <row r="629" spans="1:6">
      <c r="A629">
        <v>1.4155</v>
      </c>
      <c r="B629">
        <v>1209.18</v>
      </c>
      <c r="C629">
        <f t="shared" si="36"/>
        <v>0.0194657614992846</v>
      </c>
      <c r="D629">
        <f t="shared" si="39"/>
        <v>0.000456114923083178</v>
      </c>
      <c r="E629">
        <f t="shared" si="37"/>
        <v>0.00267689580468341</v>
      </c>
      <c r="F629">
        <f t="shared" si="38"/>
        <v>4.9318677240811e-6</v>
      </c>
    </row>
    <row r="630" spans="1:6">
      <c r="A630">
        <v>1.4215</v>
      </c>
      <c r="B630">
        <v>1213.27</v>
      </c>
      <c r="C630">
        <f t="shared" si="36"/>
        <v>0.00337674989067324</v>
      </c>
      <c r="D630">
        <f t="shared" si="39"/>
        <v>0.000417515396915104</v>
      </c>
      <c r="E630">
        <f t="shared" si="37"/>
        <v>0.00266819063559914</v>
      </c>
      <c r="F630">
        <f t="shared" si="38"/>
        <v>5.06553903002546e-6</v>
      </c>
    </row>
    <row r="631" spans="1:6">
      <c r="A631">
        <v>1.4382</v>
      </c>
      <c r="B631">
        <v>1106.42</v>
      </c>
      <c r="C631">
        <f t="shared" si="36"/>
        <v>-0.0921896159659835</v>
      </c>
      <c r="D631">
        <f t="shared" si="39"/>
        <v>0.000214458918369633</v>
      </c>
      <c r="E631">
        <f t="shared" si="37"/>
        <v>0.00266390663343693</v>
      </c>
      <c r="F631">
        <f t="shared" si="38"/>
        <v>5.99979410884839e-6</v>
      </c>
    </row>
    <row r="632" spans="1:6">
      <c r="A632">
        <v>1.4384</v>
      </c>
      <c r="B632">
        <v>1166.36</v>
      </c>
      <c r="C632">
        <f t="shared" si="36"/>
        <v>0.0527582102814016</v>
      </c>
      <c r="D632">
        <f t="shared" si="39"/>
        <v>0.00435669210516258</v>
      </c>
      <c r="E632">
        <f t="shared" si="37"/>
        <v>0.00245369040165789</v>
      </c>
      <c r="F632">
        <f t="shared" si="38"/>
        <v>3.62141548354175e-6</v>
      </c>
    </row>
    <row r="633" spans="1:6">
      <c r="A633">
        <v>1.4697</v>
      </c>
      <c r="B633">
        <v>1161.06</v>
      </c>
      <c r="C633">
        <f t="shared" si="36"/>
        <v>-0.00455440716443324</v>
      </c>
      <c r="D633">
        <f t="shared" si="39"/>
        <v>0.00357006042862958</v>
      </c>
      <c r="E633">
        <f t="shared" si="37"/>
        <v>0.00241054939108012</v>
      </c>
      <c r="F633">
        <f t="shared" si="38"/>
        <v>1.34446584619904e-6</v>
      </c>
    </row>
    <row r="634" spans="1:6">
      <c r="A634">
        <v>1.4737</v>
      </c>
      <c r="B634">
        <v>1114.28</v>
      </c>
      <c r="C634">
        <f t="shared" si="36"/>
        <v>-0.0411249245450187</v>
      </c>
      <c r="D634">
        <f t="shared" si="39"/>
        <v>0.00179540152662451</v>
      </c>
      <c r="E634">
        <f t="shared" si="37"/>
        <v>0.00248344058145587</v>
      </c>
      <c r="F634">
        <f t="shared" si="38"/>
        <v>4.7339774097323e-7</v>
      </c>
    </row>
    <row r="635" spans="1:6">
      <c r="A635">
        <v>1.4655</v>
      </c>
      <c r="B635">
        <v>1099.23</v>
      </c>
      <c r="C635">
        <f t="shared" si="36"/>
        <v>-0.0135985217320237</v>
      </c>
      <c r="D635">
        <f t="shared" si="39"/>
        <v>0.001743330472729</v>
      </c>
      <c r="E635">
        <f t="shared" si="37"/>
        <v>0.00249407475519239</v>
      </c>
      <c r="F635">
        <f t="shared" si="38"/>
        <v>5.63616977651469e-7</v>
      </c>
    </row>
    <row r="636" spans="1:6">
      <c r="A636">
        <v>1.4643</v>
      </c>
      <c r="B636">
        <v>1056.89</v>
      </c>
      <c r="C636">
        <f t="shared" si="36"/>
        <v>-0.0392793013346062</v>
      </c>
      <c r="D636">
        <f t="shared" si="39"/>
        <v>0.000964125133012659</v>
      </c>
      <c r="E636">
        <f t="shared" si="37"/>
        <v>0.00249364102578833</v>
      </c>
      <c r="F636">
        <f t="shared" si="38"/>
        <v>2.33941886625335e-6</v>
      </c>
    </row>
    <row r="637" spans="1:6">
      <c r="A637">
        <v>1.4596</v>
      </c>
      <c r="B637">
        <v>996.23</v>
      </c>
      <c r="C637">
        <f t="shared" si="36"/>
        <v>-0.0591077577168573</v>
      </c>
      <c r="D637">
        <f t="shared" si="39"/>
        <v>0.00125349432317373</v>
      </c>
      <c r="E637">
        <f t="shared" si="37"/>
        <v>0.00246070195721745</v>
      </c>
      <c r="F637">
        <f t="shared" si="38"/>
        <v>1.45735027169343e-6</v>
      </c>
    </row>
    <row r="638" spans="1:6">
      <c r="A638">
        <v>1.4381</v>
      </c>
      <c r="B638">
        <v>984.94</v>
      </c>
      <c r="C638">
        <f t="shared" si="36"/>
        <v>-0.0113974290094149</v>
      </c>
      <c r="D638">
        <f t="shared" si="39"/>
        <v>0.00237361067274422</v>
      </c>
      <c r="E638">
        <f t="shared" si="37"/>
        <v>0.00243738676881429</v>
      </c>
      <c r="F638">
        <f t="shared" si="38"/>
        <v>4.06739042993953e-9</v>
      </c>
    </row>
    <row r="639" spans="1:6">
      <c r="A639">
        <v>1.4081</v>
      </c>
      <c r="B639">
        <v>909.92</v>
      </c>
      <c r="C639">
        <f t="shared" si="36"/>
        <v>-0.0792240420527006</v>
      </c>
      <c r="D639">
        <f t="shared" si="39"/>
        <v>0.00125175603038443</v>
      </c>
      <c r="E639">
        <f t="shared" si="37"/>
        <v>0.00263950227903019</v>
      </c>
      <c r="F639">
        <f t="shared" si="38"/>
        <v>1.92583965063036e-6</v>
      </c>
    </row>
    <row r="640" spans="1:6">
      <c r="A640">
        <v>1.4058</v>
      </c>
      <c r="B640">
        <v>899.22</v>
      </c>
      <c r="C640">
        <f t="shared" si="36"/>
        <v>-0.0118289626735297</v>
      </c>
      <c r="D640">
        <f t="shared" si="39"/>
        <v>0.00376410243477625</v>
      </c>
      <c r="E640">
        <f t="shared" si="37"/>
        <v>0.00246770795893033</v>
      </c>
      <c r="F640">
        <f t="shared" si="38"/>
        <v>1.68063863700384e-6</v>
      </c>
    </row>
    <row r="641" spans="1:6">
      <c r="A641">
        <v>1.3854</v>
      </c>
      <c r="B641">
        <v>1003.35</v>
      </c>
      <c r="C641">
        <f t="shared" si="36"/>
        <v>0.109571959347567</v>
      </c>
      <c r="D641">
        <f t="shared" si="39"/>
        <v>0.00195201339635401</v>
      </c>
      <c r="E641">
        <f t="shared" si="37"/>
        <v>0.00248733658217789</v>
      </c>
      <c r="F641">
        <f t="shared" si="38"/>
        <v>2.86570913280634e-7</v>
      </c>
    </row>
    <row r="642" spans="1:6">
      <c r="A642">
        <v>1.3816</v>
      </c>
      <c r="B642">
        <v>998.01</v>
      </c>
      <c r="C642">
        <f t="shared" si="36"/>
        <v>-0.00533638393118295</v>
      </c>
      <c r="D642">
        <f t="shared" si="39"/>
        <v>0.00697901383580944</v>
      </c>
      <c r="E642">
        <f t="shared" si="37"/>
        <v>0.00197860067485392</v>
      </c>
      <c r="F642">
        <f t="shared" si="38"/>
        <v>2.50041317802572e-5</v>
      </c>
    </row>
    <row r="643" spans="1:6">
      <c r="A643">
        <v>1.3508</v>
      </c>
      <c r="B643">
        <v>907.84</v>
      </c>
      <c r="C643">
        <f t="shared" si="36"/>
        <v>-0.0946951446808573</v>
      </c>
      <c r="D643">
        <f t="shared" si="39"/>
        <v>0.00350374541463521</v>
      </c>
      <c r="E643">
        <f t="shared" si="37"/>
        <v>0.00210403421039396</v>
      </c>
      <c r="F643">
        <f t="shared" si="38"/>
        <v>1.95919145527852e-6</v>
      </c>
    </row>
    <row r="644" spans="1:6">
      <c r="A644">
        <v>1.3649</v>
      </c>
      <c r="B644">
        <v>946.43</v>
      </c>
      <c r="C644">
        <f t="shared" ref="C644:C707" si="40">LN(B644/B643)</f>
        <v>0.041628859611446</v>
      </c>
      <c r="D644">
        <f t="shared" si="39"/>
        <v>0.00623545792038185</v>
      </c>
      <c r="E644">
        <f t="shared" ref="E644:E707" si="41">_xlfn.VAR.S(C644:C669)</f>
        <v>0.00195399968309088</v>
      </c>
      <c r="F644">
        <f t="shared" ref="F644:F707" si="42">(D644-E644)^2</f>
        <v>1.83308846376667e-5</v>
      </c>
    </row>
    <row r="645" spans="1:6">
      <c r="A645">
        <v>1.368</v>
      </c>
      <c r="B645">
        <v>940.55</v>
      </c>
      <c r="C645">
        <f t="shared" si="40"/>
        <v>-0.00623220069290312</v>
      </c>
      <c r="D645">
        <f t="shared" ref="D645:D708" si="43">$H$1*D644+(1-$H$1)*C644^2</f>
        <v>0.00398420993646567</v>
      </c>
      <c r="E645">
        <f t="shared" si="41"/>
        <v>0.00204590881746925</v>
      </c>
      <c r="F645">
        <f t="shared" si="42"/>
        <v>3.75701122790277e-6</v>
      </c>
    </row>
    <row r="646" spans="1:6">
      <c r="A646">
        <v>1.3646</v>
      </c>
      <c r="B646">
        <v>985.4</v>
      </c>
      <c r="C646">
        <f t="shared" si="40"/>
        <v>0.0465828395708331</v>
      </c>
      <c r="D646">
        <f t="shared" si="43"/>
        <v>0.00201152513097115</v>
      </c>
      <c r="E646">
        <f t="shared" si="41"/>
        <v>0.0022300152962758</v>
      </c>
      <c r="F646">
        <f t="shared" si="42"/>
        <v>4.77379523348543e-8</v>
      </c>
    </row>
    <row r="647" spans="1:6">
      <c r="A647">
        <v>1.3471</v>
      </c>
      <c r="B647">
        <v>955.05</v>
      </c>
      <c r="C647">
        <f t="shared" si="40"/>
        <v>-0.0312839549787187</v>
      </c>
      <c r="D647">
        <f t="shared" si="43"/>
        <v>0.00209074303672656</v>
      </c>
      <c r="E647">
        <f t="shared" si="41"/>
        <v>0.00213024067520945</v>
      </c>
      <c r="F647">
        <f t="shared" si="42"/>
        <v>1.56006344572512e-9</v>
      </c>
    </row>
    <row r="648" spans="1:6">
      <c r="A648">
        <v>1.3658</v>
      </c>
      <c r="B648">
        <v>896.78</v>
      </c>
      <c r="C648">
        <f t="shared" si="40"/>
        <v>-0.0629531251383795</v>
      </c>
      <c r="D648">
        <f t="shared" si="43"/>
        <v>0.00153471443791853</v>
      </c>
      <c r="E648">
        <f t="shared" si="41"/>
        <v>0.00216086612587257</v>
      </c>
      <c r="F648">
        <f t="shared" si="42"/>
        <v>3.92065936327698e-7</v>
      </c>
    </row>
    <row r="649" spans="1:6">
      <c r="A649">
        <v>1.3567</v>
      </c>
      <c r="B649">
        <v>908.11</v>
      </c>
      <c r="C649">
        <f t="shared" si="40"/>
        <v>0.0125549466454699</v>
      </c>
      <c r="D649">
        <f t="shared" si="43"/>
        <v>0.0027489052013035</v>
      </c>
      <c r="E649">
        <f t="shared" si="41"/>
        <v>0.00201425848499802</v>
      </c>
      <c r="F649">
        <f t="shared" si="42"/>
        <v>5.39705797778416e-7</v>
      </c>
    </row>
    <row r="650" spans="1:6">
      <c r="A650">
        <v>1.3416</v>
      </c>
      <c r="B650">
        <v>876.77</v>
      </c>
      <c r="C650">
        <f t="shared" si="40"/>
        <v>-0.0351208163583082</v>
      </c>
      <c r="D650">
        <f t="shared" si="43"/>
        <v>0.00145326594328705</v>
      </c>
      <c r="E650">
        <f t="shared" si="41"/>
        <v>0.00234040430026684</v>
      </c>
      <c r="F650">
        <f t="shared" si="42"/>
        <v>7.87014464424804e-7</v>
      </c>
    </row>
    <row r="651" spans="1:6">
      <c r="A651">
        <v>1.3462</v>
      </c>
      <c r="B651">
        <v>848.92</v>
      </c>
      <c r="C651">
        <f t="shared" si="40"/>
        <v>-0.0322797469124859</v>
      </c>
      <c r="D651">
        <f t="shared" si="43"/>
        <v>0.00134336884248053</v>
      </c>
      <c r="E651">
        <f t="shared" si="41"/>
        <v>0.00236831447485189</v>
      </c>
      <c r="F651">
        <f t="shared" si="42"/>
        <v>1.05051354931714e-6</v>
      </c>
    </row>
    <row r="652" spans="1:6">
      <c r="A652">
        <v>1.3314</v>
      </c>
      <c r="B652">
        <v>940.51</v>
      </c>
      <c r="C652">
        <f t="shared" si="40"/>
        <v>0.10245732795933</v>
      </c>
      <c r="D652">
        <f t="shared" si="43"/>
        <v>0.00119267545160734</v>
      </c>
      <c r="E652">
        <f t="shared" si="41"/>
        <v>0.00235328670358414</v>
      </c>
      <c r="F652">
        <f t="shared" si="42"/>
        <v>1.34701847821517e-6</v>
      </c>
    </row>
    <row r="653" spans="1:6">
      <c r="A653">
        <v>1.3102</v>
      </c>
      <c r="B653">
        <v>930.09</v>
      </c>
      <c r="C653">
        <f t="shared" si="40"/>
        <v>-0.0111409256682407</v>
      </c>
      <c r="D653">
        <f t="shared" si="43"/>
        <v>0.00584508975208652</v>
      </c>
      <c r="E653">
        <f t="shared" si="41"/>
        <v>0.00195221514037591</v>
      </c>
      <c r="F653">
        <f t="shared" si="42"/>
        <v>1.51544727425011e-5</v>
      </c>
    </row>
    <row r="654" spans="1:6">
      <c r="A654">
        <v>1.2835</v>
      </c>
      <c r="B654">
        <v>954.09</v>
      </c>
      <c r="C654">
        <f t="shared" si="40"/>
        <v>0.0254766509626959</v>
      </c>
      <c r="D654">
        <f t="shared" si="43"/>
        <v>0.00298460498841589</v>
      </c>
      <c r="E654">
        <f t="shared" si="41"/>
        <v>0.00201070478011401</v>
      </c>
      <c r="F654">
        <f t="shared" si="42"/>
        <v>9.48481615730442e-7</v>
      </c>
    </row>
    <row r="655" spans="1:6">
      <c r="A655">
        <v>1.2878</v>
      </c>
      <c r="B655">
        <v>968.75</v>
      </c>
      <c r="C655">
        <f t="shared" si="40"/>
        <v>0.0152485740463311</v>
      </c>
      <c r="D655">
        <f t="shared" si="43"/>
        <v>0.00181683236634546</v>
      </c>
      <c r="E655">
        <f t="shared" si="41"/>
        <v>0.00204351616976194</v>
      </c>
      <c r="F655">
        <f t="shared" si="42"/>
        <v>5.13855467313621e-8</v>
      </c>
    </row>
    <row r="656" spans="1:6">
      <c r="A656">
        <v>1.2639</v>
      </c>
      <c r="B656">
        <v>966.3</v>
      </c>
      <c r="C656">
        <f t="shared" si="40"/>
        <v>-0.00253223566229396</v>
      </c>
      <c r="D656">
        <f t="shared" si="43"/>
        <v>0.00102467568839595</v>
      </c>
      <c r="E656">
        <f t="shared" si="41"/>
        <v>0.00204813632338969</v>
      </c>
      <c r="F656">
        <f t="shared" si="42"/>
        <v>1.04747167138177e-6</v>
      </c>
    </row>
    <row r="657" spans="1:6">
      <c r="A657">
        <v>1.2446</v>
      </c>
      <c r="B657">
        <v>1005.75</v>
      </c>
      <c r="C657">
        <f t="shared" si="40"/>
        <v>0.0400144658246348</v>
      </c>
      <c r="D657">
        <f t="shared" si="43"/>
        <v>0.000515543952922673</v>
      </c>
      <c r="E657">
        <f t="shared" si="41"/>
        <v>0.00205696631004189</v>
      </c>
      <c r="F657">
        <f t="shared" si="42"/>
        <v>2.37598288302696e-6</v>
      </c>
    </row>
    <row r="658" spans="1:6">
      <c r="A658">
        <v>1.2476</v>
      </c>
      <c r="B658">
        <v>952.77</v>
      </c>
      <c r="C658">
        <f t="shared" si="40"/>
        <v>-0.0541152794306021</v>
      </c>
      <c r="D658">
        <f t="shared" si="43"/>
        <v>0.00105835071407677</v>
      </c>
      <c r="E658">
        <f t="shared" si="41"/>
        <v>0.00200384373063583</v>
      </c>
      <c r="F658">
        <f t="shared" si="42"/>
        <v>8.93957044361953e-7</v>
      </c>
    </row>
    <row r="659" spans="1:6">
      <c r="A659">
        <v>1.2851</v>
      </c>
      <c r="B659">
        <v>904.88</v>
      </c>
      <c r="C659">
        <f t="shared" si="40"/>
        <v>-0.0515711931761699</v>
      </c>
      <c r="D659">
        <f t="shared" si="43"/>
        <v>0.00199340709096446</v>
      </c>
      <c r="E659">
        <f t="shared" si="41"/>
        <v>0.00190941366990625</v>
      </c>
      <c r="F659">
        <f t="shared" si="42"/>
        <v>7.05489478106228e-9</v>
      </c>
    </row>
    <row r="660" spans="1:6">
      <c r="A660">
        <v>1.285</v>
      </c>
      <c r="B660">
        <v>930.99</v>
      </c>
      <c r="C660">
        <f t="shared" si="40"/>
        <v>0.0284461978576944</v>
      </c>
      <c r="D660">
        <f t="shared" si="43"/>
        <v>0.00232649752828915</v>
      </c>
      <c r="E660">
        <f t="shared" si="41"/>
        <v>0.00181675628186937</v>
      </c>
      <c r="F660">
        <f t="shared" si="42"/>
        <v>2.59836138301591e-7</v>
      </c>
    </row>
    <row r="661" spans="1:6">
      <c r="A661">
        <v>1.2682</v>
      </c>
      <c r="B661">
        <v>919.21</v>
      </c>
      <c r="C661">
        <f t="shared" si="40"/>
        <v>-0.0127339305802108</v>
      </c>
      <c r="D661">
        <f t="shared" si="43"/>
        <v>0.00156784185042412</v>
      </c>
      <c r="E661">
        <f t="shared" si="41"/>
        <v>0.00188673484189261</v>
      </c>
      <c r="F661">
        <f t="shared" si="42"/>
        <v>1.0169274000772e-7</v>
      </c>
    </row>
    <row r="662" spans="1:6">
      <c r="A662">
        <v>1.2719</v>
      </c>
      <c r="B662">
        <v>898.95</v>
      </c>
      <c r="C662">
        <f t="shared" si="40"/>
        <v>-0.0222871899283051</v>
      </c>
      <c r="D662">
        <f t="shared" si="43"/>
        <v>0.000864997419222875</v>
      </c>
      <c r="E662">
        <f t="shared" si="41"/>
        <v>0.00188413445276832</v>
      </c>
      <c r="F662">
        <f t="shared" si="42"/>
        <v>1.03864029314382e-6</v>
      </c>
    </row>
    <row r="663" spans="1:6">
      <c r="A663">
        <v>1.3021</v>
      </c>
      <c r="B663">
        <v>852.3</v>
      </c>
      <c r="C663">
        <f t="shared" si="40"/>
        <v>-0.0532888380440521</v>
      </c>
      <c r="D663">
        <f t="shared" si="43"/>
        <v>0.000680858127061609</v>
      </c>
      <c r="E663">
        <f t="shared" si="41"/>
        <v>0.00188261031593191</v>
      </c>
      <c r="F663">
        <f t="shared" si="42"/>
        <v>1.44420832345457e-6</v>
      </c>
    </row>
    <row r="664" spans="1:6">
      <c r="A664">
        <v>1.3039</v>
      </c>
      <c r="B664">
        <v>911.29</v>
      </c>
      <c r="C664">
        <f t="shared" si="40"/>
        <v>0.0669226005788253</v>
      </c>
      <c r="D664">
        <f t="shared" si="43"/>
        <v>0.00176027919357341</v>
      </c>
      <c r="E664">
        <f t="shared" si="41"/>
        <v>0.00176715425362529</v>
      </c>
      <c r="F664">
        <f t="shared" si="42"/>
        <v>4.72664507169632e-11</v>
      </c>
    </row>
    <row r="665" spans="1:6">
      <c r="A665">
        <v>1.2756</v>
      </c>
      <c r="B665">
        <v>873.29</v>
      </c>
      <c r="C665">
        <f t="shared" si="40"/>
        <v>-0.0425934895716846</v>
      </c>
      <c r="D665">
        <f t="shared" si="43"/>
        <v>0.0031194568309032</v>
      </c>
      <c r="E665">
        <f t="shared" si="41"/>
        <v>0.0016011841335108</v>
      </c>
      <c r="F665">
        <f t="shared" si="42"/>
        <v>2.30515198364719e-6</v>
      </c>
    </row>
    <row r="666" spans="1:6">
      <c r="A666">
        <v>1.2777</v>
      </c>
      <c r="B666">
        <v>850.75</v>
      </c>
      <c r="C666">
        <f t="shared" si="40"/>
        <v>-0.0261493751543774</v>
      </c>
      <c r="D666">
        <f t="shared" si="43"/>
        <v>0.0024668310923982</v>
      </c>
      <c r="E666">
        <f t="shared" si="41"/>
        <v>0.0015352666643697</v>
      </c>
      <c r="F666">
        <f t="shared" si="42"/>
        <v>8.67812283568071e-7</v>
      </c>
    </row>
    <row r="667" spans="1:6">
      <c r="A667">
        <v>1.276</v>
      </c>
      <c r="B667">
        <v>859.12</v>
      </c>
      <c r="C667">
        <f t="shared" si="40"/>
        <v>0.00979029616894602</v>
      </c>
      <c r="D667">
        <f t="shared" si="43"/>
        <v>0.00157531045668129</v>
      </c>
      <c r="E667">
        <f t="shared" si="41"/>
        <v>0.00150882302821746</v>
      </c>
      <c r="F667">
        <f t="shared" si="42"/>
        <v>4.42057814373262e-9</v>
      </c>
    </row>
    <row r="668" spans="1:6">
      <c r="A668">
        <v>1.2558</v>
      </c>
      <c r="B668">
        <v>806.58</v>
      </c>
      <c r="C668">
        <f t="shared" si="40"/>
        <v>-0.0631055228557447</v>
      </c>
      <c r="D668">
        <f t="shared" si="43"/>
        <v>0.000835580177878483</v>
      </c>
      <c r="E668">
        <f t="shared" si="41"/>
        <v>0.0015063771508898</v>
      </c>
      <c r="F668">
        <f t="shared" si="42"/>
        <v>4.49968579001147e-7</v>
      </c>
    </row>
    <row r="669" spans="1:6">
      <c r="A669">
        <v>1.2526</v>
      </c>
      <c r="B669">
        <v>752.44</v>
      </c>
      <c r="C669">
        <f t="shared" si="40"/>
        <v>-0.0694818274693964</v>
      </c>
      <c r="D669">
        <f t="shared" si="43"/>
        <v>0.0024089435963877</v>
      </c>
      <c r="E669">
        <f t="shared" si="41"/>
        <v>0.00133941182769025</v>
      </c>
      <c r="F669">
        <f t="shared" si="42"/>
        <v>1.14389820425309e-6</v>
      </c>
    </row>
    <row r="670" spans="1:6">
      <c r="A670">
        <v>1.2731</v>
      </c>
      <c r="B670">
        <v>800.03</v>
      </c>
      <c r="C670">
        <f t="shared" si="40"/>
        <v>0.06132796774</v>
      </c>
      <c r="D670">
        <f t="shared" si="43"/>
        <v>0.00361833397243733</v>
      </c>
      <c r="E670">
        <f t="shared" si="41"/>
        <v>0.00113447930217029</v>
      </c>
      <c r="F670">
        <f t="shared" si="42"/>
        <v>6.16953402300739e-6</v>
      </c>
    </row>
    <row r="671" spans="1:6">
      <c r="A671">
        <v>1.2726</v>
      </c>
      <c r="B671">
        <v>851.81</v>
      </c>
      <c r="C671">
        <f t="shared" si="40"/>
        <v>0.0627142703004158</v>
      </c>
      <c r="D671">
        <f t="shared" si="43"/>
        <v>0.00368972679977791</v>
      </c>
      <c r="E671">
        <f t="shared" si="41"/>
        <v>0.00101302777132704</v>
      </c>
      <c r="F671">
        <f t="shared" si="42"/>
        <v>7.16471768890981e-6</v>
      </c>
    </row>
    <row r="672" spans="1:6">
      <c r="A672">
        <v>1.269</v>
      </c>
      <c r="B672">
        <v>857.39</v>
      </c>
      <c r="C672">
        <f t="shared" si="40"/>
        <v>0.00652939366290944</v>
      </c>
      <c r="D672">
        <f t="shared" si="43"/>
        <v>0.00381140324954576</v>
      </c>
      <c r="E672">
        <f t="shared" si="41"/>
        <v>0.000904701307539388</v>
      </c>
      <c r="F672">
        <f t="shared" si="42"/>
        <v>8.44891617966362e-6</v>
      </c>
    </row>
    <row r="673" spans="1:6">
      <c r="A673">
        <v>1.2595</v>
      </c>
      <c r="B673">
        <v>887.68</v>
      </c>
      <c r="C673">
        <f t="shared" si="40"/>
        <v>0.034718426758267</v>
      </c>
      <c r="D673">
        <f t="shared" si="43"/>
        <v>0.0019270181155755</v>
      </c>
      <c r="E673">
        <f t="shared" si="41"/>
        <v>0.000906774032981201</v>
      </c>
      <c r="F673">
        <f t="shared" si="42"/>
        <v>1.04089798806869e-6</v>
      </c>
    </row>
    <row r="674" spans="1:6">
      <c r="A674">
        <v>1.2525</v>
      </c>
      <c r="B674">
        <v>896.24</v>
      </c>
      <c r="C674">
        <f t="shared" si="40"/>
        <v>0.00959691656405579</v>
      </c>
      <c r="D674">
        <f t="shared" si="43"/>
        <v>0.00156619363607233</v>
      </c>
      <c r="E674">
        <f t="shared" si="41"/>
        <v>0.000866377577508802</v>
      </c>
      <c r="F674">
        <f t="shared" si="42"/>
        <v>4.89742515823385e-7</v>
      </c>
    </row>
    <row r="675" spans="1:6">
      <c r="A675">
        <v>1.2531</v>
      </c>
      <c r="B675">
        <v>816.21</v>
      </c>
      <c r="C675">
        <f t="shared" si="40"/>
        <v>-0.0935365594547721</v>
      </c>
      <c r="D675">
        <f t="shared" si="43"/>
        <v>0.000829147221804887</v>
      </c>
      <c r="E675">
        <f t="shared" si="41"/>
        <v>0.0009037216155103</v>
      </c>
      <c r="F675">
        <f t="shared" si="42"/>
        <v>5.56134019652994e-9</v>
      </c>
    </row>
    <row r="676" spans="1:6">
      <c r="A676">
        <v>1.289</v>
      </c>
      <c r="B676">
        <v>848.81</v>
      </c>
      <c r="C676">
        <f t="shared" si="40"/>
        <v>0.0391636937730382</v>
      </c>
      <c r="D676">
        <f t="shared" si="43"/>
        <v>0.0047891175882205</v>
      </c>
      <c r="E676">
        <f t="shared" si="41"/>
        <v>0.000536320122271147</v>
      </c>
      <c r="F676">
        <f t="shared" si="42"/>
        <v>1.80862862863853e-5</v>
      </c>
    </row>
    <row r="677" spans="1:6">
      <c r="A677">
        <v>1.303</v>
      </c>
      <c r="B677">
        <v>870.74</v>
      </c>
      <c r="C677">
        <f t="shared" si="40"/>
        <v>0.0255080562588614</v>
      </c>
      <c r="D677">
        <f t="shared" si="43"/>
        <v>0.00316145624908441</v>
      </c>
      <c r="E677">
        <f t="shared" si="41"/>
        <v>0.000508106598972346</v>
      </c>
      <c r="F677">
        <f t="shared" si="42"/>
        <v>7.04026436574979e-6</v>
      </c>
    </row>
    <row r="678" spans="1:6">
      <c r="A678">
        <v>1.2828</v>
      </c>
      <c r="B678">
        <v>845.22</v>
      </c>
      <c r="C678">
        <f t="shared" si="40"/>
        <v>-0.0297464763273248</v>
      </c>
      <c r="D678">
        <f t="shared" si="43"/>
        <v>0.00190605859159482</v>
      </c>
      <c r="E678">
        <f t="shared" si="41"/>
        <v>0.000506426675629127</v>
      </c>
      <c r="F678">
        <f t="shared" si="42"/>
        <v>1.9589695001898e-6</v>
      </c>
    </row>
    <row r="679" spans="1:6">
      <c r="A679">
        <v>1.2694</v>
      </c>
      <c r="B679">
        <v>876.07</v>
      </c>
      <c r="C679">
        <f t="shared" si="40"/>
        <v>0.0358490479193918</v>
      </c>
      <c r="D679">
        <f t="shared" si="43"/>
        <v>0.00139545572274346</v>
      </c>
      <c r="E679">
        <f t="shared" si="41"/>
        <v>0.000469682597689296</v>
      </c>
      <c r="F679">
        <f t="shared" si="42"/>
        <v>8.5705587907255e-7</v>
      </c>
    </row>
    <row r="680" spans="1:6">
      <c r="A680">
        <v>1.2634</v>
      </c>
      <c r="B680">
        <v>909.7</v>
      </c>
      <c r="C680">
        <f t="shared" si="40"/>
        <v>0.0376688784083538</v>
      </c>
      <c r="D680">
        <f t="shared" si="43"/>
        <v>0.00134030497973515</v>
      </c>
      <c r="E680">
        <f t="shared" si="41"/>
        <v>0.000463747080245163</v>
      </c>
      <c r="F680">
        <f t="shared" si="42"/>
        <v>7.68353751158305e-7</v>
      </c>
    </row>
    <row r="681" spans="1:6">
      <c r="A681">
        <v>1.2724</v>
      </c>
      <c r="B681">
        <v>888.67</v>
      </c>
      <c r="C681">
        <f t="shared" si="40"/>
        <v>-0.0233889118267723</v>
      </c>
      <c r="D681">
        <f t="shared" si="43"/>
        <v>0.00137962469013925</v>
      </c>
      <c r="E681">
        <f t="shared" si="41"/>
        <v>0.000400675098649201</v>
      </c>
      <c r="F681">
        <f t="shared" si="42"/>
        <v>9.5834230267853e-7</v>
      </c>
    </row>
    <row r="682" spans="1:6">
      <c r="A682">
        <v>1.2669</v>
      </c>
      <c r="B682">
        <v>899.24</v>
      </c>
      <c r="C682">
        <f t="shared" si="40"/>
        <v>0.0118239991345648</v>
      </c>
      <c r="D682">
        <f t="shared" si="43"/>
        <v>0.000963332943289889</v>
      </c>
      <c r="E682">
        <f t="shared" si="41"/>
        <v>0.000386753925649073</v>
      </c>
      <c r="F682">
        <f t="shared" si="42"/>
        <v>3.32443363583648e-7</v>
      </c>
    </row>
    <row r="683" spans="1:6">
      <c r="A683">
        <v>1.284</v>
      </c>
      <c r="B683">
        <v>873.59</v>
      </c>
      <c r="C683">
        <f t="shared" si="40"/>
        <v>-0.028938804097131</v>
      </c>
      <c r="D683">
        <f t="shared" si="43"/>
        <v>0.000551569949412039</v>
      </c>
      <c r="E683">
        <f t="shared" si="41"/>
        <v>0.000483199273499839</v>
      </c>
      <c r="F683">
        <f t="shared" si="42"/>
        <v>4.67454932469112e-9</v>
      </c>
    </row>
    <row r="684" spans="1:6">
      <c r="A684">
        <v>1.2654</v>
      </c>
      <c r="B684">
        <v>879.73</v>
      </c>
      <c r="C684">
        <f t="shared" si="40"/>
        <v>0.00700388417342812</v>
      </c>
      <c r="D684">
        <f t="shared" si="43"/>
        <v>0.000694512165992082</v>
      </c>
      <c r="E684">
        <f t="shared" si="41"/>
        <v>0.000538628091745661</v>
      </c>
      <c r="F684">
        <f t="shared" si="42"/>
        <v>2.4299844603664e-8</v>
      </c>
    </row>
    <row r="685" spans="1:6">
      <c r="A685">
        <v>1.2942</v>
      </c>
      <c r="B685">
        <v>868.57</v>
      </c>
      <c r="C685">
        <f t="shared" si="40"/>
        <v>-0.012766861045401</v>
      </c>
      <c r="D685">
        <f t="shared" si="43"/>
        <v>0.00037178327975344</v>
      </c>
      <c r="E685">
        <f t="shared" si="41"/>
        <v>0.000542570674307705</v>
      </c>
      <c r="F685">
        <f t="shared" si="42"/>
        <v>2.91683341386344e-8</v>
      </c>
    </row>
    <row r="686" spans="1:6">
      <c r="A686">
        <v>1.2937</v>
      </c>
      <c r="B686">
        <v>913.18</v>
      </c>
      <c r="C686">
        <f t="shared" si="40"/>
        <v>0.0500848322416587</v>
      </c>
      <c r="D686">
        <f t="shared" si="43"/>
        <v>0.000267388010353009</v>
      </c>
      <c r="E686">
        <f t="shared" si="41"/>
        <v>0.000540110211331514</v>
      </c>
      <c r="F686">
        <f t="shared" si="42"/>
        <v>7.43773989065602e-8</v>
      </c>
    </row>
    <row r="687" spans="1:6">
      <c r="A687">
        <v>1.3024</v>
      </c>
      <c r="B687">
        <v>904.42</v>
      </c>
      <c r="C687">
        <f t="shared" si="40"/>
        <v>-0.00963915914026065</v>
      </c>
      <c r="D687">
        <f t="shared" si="43"/>
        <v>0.00138793921551405</v>
      </c>
      <c r="E687">
        <f t="shared" si="41"/>
        <v>0.000432040031929436</v>
      </c>
      <c r="F687">
        <f t="shared" si="42"/>
        <v>9.13743249177735e-7</v>
      </c>
    </row>
    <row r="688" spans="1:6">
      <c r="A688">
        <v>1.3294</v>
      </c>
      <c r="B688">
        <v>885.28</v>
      </c>
      <c r="C688">
        <f t="shared" si="40"/>
        <v>-0.0213898751183033</v>
      </c>
      <c r="D688">
        <f t="shared" si="43"/>
        <v>0.000740426302222661</v>
      </c>
      <c r="E688">
        <f t="shared" si="41"/>
        <v>0.000437928135147923</v>
      </c>
      <c r="F688">
        <f t="shared" si="42"/>
        <v>9.1505141083576e-8</v>
      </c>
    </row>
    <row r="689" spans="1:6">
      <c r="A689">
        <v>1.3349</v>
      </c>
      <c r="B689">
        <v>887.88</v>
      </c>
      <c r="C689">
        <f t="shared" si="40"/>
        <v>0.00293261957566031</v>
      </c>
      <c r="D689">
        <f t="shared" si="43"/>
        <v>0.000598976529899636</v>
      </c>
      <c r="E689">
        <f t="shared" si="41"/>
        <v>0.000469886528632059</v>
      </c>
      <c r="F689">
        <f t="shared" si="42"/>
        <v>1.66642284272631e-8</v>
      </c>
    </row>
    <row r="690" spans="1:6">
      <c r="A690">
        <v>1.3664</v>
      </c>
      <c r="B690">
        <v>871.63</v>
      </c>
      <c r="C690">
        <f t="shared" si="40"/>
        <v>-0.0184715767888639</v>
      </c>
      <c r="D690">
        <f t="shared" si="43"/>
        <v>0.000303788393737591</v>
      </c>
      <c r="E690">
        <f t="shared" si="41"/>
        <v>0.000511423570877249</v>
      </c>
      <c r="F690">
        <f t="shared" si="42"/>
        <v>4.3112366785817e-8</v>
      </c>
    </row>
    <row r="691" spans="1:6">
      <c r="A691">
        <v>1.381</v>
      </c>
      <c r="B691">
        <v>863.16</v>
      </c>
      <c r="C691">
        <f t="shared" si="40"/>
        <v>-0.00976494826933086</v>
      </c>
      <c r="D691">
        <f t="shared" si="43"/>
        <v>0.000322493771402243</v>
      </c>
      <c r="E691">
        <f t="shared" si="41"/>
        <v>0.000518305176017903</v>
      </c>
      <c r="F691">
        <f t="shared" si="42"/>
        <v>3.83421061775575e-8</v>
      </c>
    </row>
    <row r="692" spans="1:6">
      <c r="A692">
        <v>1.4358</v>
      </c>
      <c r="B692">
        <v>868.15</v>
      </c>
      <c r="C692">
        <f t="shared" si="40"/>
        <v>0.00576443712288173</v>
      </c>
      <c r="D692">
        <f t="shared" si="43"/>
        <v>0.000208923993052476</v>
      </c>
      <c r="E692">
        <f t="shared" si="41"/>
        <v>0.000515902782941213</v>
      </c>
      <c r="F692">
        <f t="shared" si="42"/>
        <v>9.42359774415536e-8</v>
      </c>
    </row>
    <row r="693" spans="1:6">
      <c r="A693">
        <v>1.4298</v>
      </c>
      <c r="B693">
        <v>872.8</v>
      </c>
      <c r="C693">
        <f t="shared" si="40"/>
        <v>0.00534192372871428</v>
      </c>
      <c r="D693">
        <f t="shared" si="43"/>
        <v>0.000121076364198066</v>
      </c>
      <c r="E693">
        <f t="shared" si="41"/>
        <v>0.000525660918381482</v>
      </c>
      <c r="F693">
        <f t="shared" si="42"/>
        <v>1.63688661483793e-7</v>
      </c>
    </row>
    <row r="694" spans="1:6">
      <c r="A694">
        <v>1.3875</v>
      </c>
      <c r="B694">
        <v>869.42</v>
      </c>
      <c r="C694">
        <f t="shared" si="40"/>
        <v>-0.00388011185793537</v>
      </c>
      <c r="D694">
        <f t="shared" si="43"/>
        <v>7.48062566607335e-5</v>
      </c>
      <c r="E694">
        <f t="shared" si="41"/>
        <v>0.000525151156681811</v>
      </c>
      <c r="F694">
        <f t="shared" si="42"/>
        <v>2.02810528974994e-7</v>
      </c>
    </row>
    <row r="695" spans="1:6">
      <c r="A695">
        <v>1.3952</v>
      </c>
      <c r="B695">
        <v>890.64</v>
      </c>
      <c r="C695">
        <f t="shared" si="40"/>
        <v>0.0241139827595262</v>
      </c>
      <c r="D695">
        <f t="shared" si="43"/>
        <v>4.49307623454121e-5</v>
      </c>
      <c r="E695">
        <f t="shared" si="41"/>
        <v>0.000537412908963846</v>
      </c>
      <c r="F695">
        <f t="shared" si="42"/>
        <v>2.42538664737901e-7</v>
      </c>
    </row>
    <row r="696" spans="1:6">
      <c r="A696">
        <v>1.3966</v>
      </c>
      <c r="B696">
        <v>903.25</v>
      </c>
      <c r="C696">
        <f t="shared" si="40"/>
        <v>0.0140590646072979</v>
      </c>
      <c r="D696">
        <f t="shared" si="43"/>
        <v>0.000313207463436069</v>
      </c>
      <c r="E696">
        <f t="shared" si="41"/>
        <v>0.000542526011559367</v>
      </c>
      <c r="F696">
        <f t="shared" si="42"/>
        <v>5.25869965133772e-8</v>
      </c>
    </row>
    <row r="697" spans="1:6">
      <c r="A697">
        <v>1.3964</v>
      </c>
      <c r="B697">
        <v>931.8</v>
      </c>
      <c r="C697">
        <f t="shared" si="40"/>
        <v>0.0311188293549467</v>
      </c>
      <c r="D697">
        <f t="shared" si="43"/>
        <v>0.000255432380534123</v>
      </c>
      <c r="E697">
        <f t="shared" si="41"/>
        <v>0.000533494999696027</v>
      </c>
      <c r="F697">
        <f t="shared" si="42"/>
        <v>7.73188201751783e-8</v>
      </c>
    </row>
    <row r="698" spans="1:6">
      <c r="A698">
        <v>1.4062</v>
      </c>
      <c r="B698">
        <v>927.45</v>
      </c>
      <c r="C698">
        <f t="shared" si="40"/>
        <v>-0.00467931471000882</v>
      </c>
      <c r="D698">
        <f t="shared" si="43"/>
        <v>0.000611906960478208</v>
      </c>
      <c r="E698">
        <f t="shared" si="41"/>
        <v>0.000576588309241343</v>
      </c>
      <c r="F698">
        <f t="shared" si="42"/>
        <v>1.2474071251913e-9</v>
      </c>
    </row>
    <row r="699" spans="1:6">
      <c r="A699">
        <v>1.4232</v>
      </c>
      <c r="B699">
        <v>934.7</v>
      </c>
      <c r="C699">
        <f t="shared" si="40"/>
        <v>0.0077867375158503</v>
      </c>
      <c r="D699">
        <f t="shared" si="43"/>
        <v>0.000316901473316756</v>
      </c>
      <c r="E699">
        <f t="shared" si="41"/>
        <v>0.000582598571203734</v>
      </c>
      <c r="F699">
        <f t="shared" si="42"/>
        <v>7.05949478255622e-8</v>
      </c>
    </row>
    <row r="700" spans="1:6">
      <c r="A700">
        <v>1.4085</v>
      </c>
      <c r="B700">
        <v>906.65</v>
      </c>
      <c r="C700">
        <f t="shared" si="40"/>
        <v>-0.0304691340885032</v>
      </c>
      <c r="D700">
        <f t="shared" si="43"/>
        <v>0.000188767377228753</v>
      </c>
      <c r="E700">
        <f t="shared" si="41"/>
        <v>0.000578255156901023</v>
      </c>
      <c r="F700">
        <f t="shared" si="42"/>
        <v>1.51700730514035e-7</v>
      </c>
    </row>
    <row r="701" spans="1:6">
      <c r="A701">
        <v>1.3919</v>
      </c>
      <c r="B701">
        <v>909.73</v>
      </c>
      <c r="C701">
        <f t="shared" si="40"/>
        <v>0.00339136408902625</v>
      </c>
      <c r="D701">
        <f t="shared" si="43"/>
        <v>0.000558567754665971</v>
      </c>
      <c r="E701">
        <f t="shared" si="41"/>
        <v>0.000551590395048758</v>
      </c>
      <c r="F701">
        <f t="shared" si="42"/>
        <v>4.8683547227904e-11</v>
      </c>
    </row>
    <row r="702" spans="1:6">
      <c r="A702">
        <v>1.3946</v>
      </c>
      <c r="B702">
        <v>890.35</v>
      </c>
      <c r="C702">
        <f t="shared" si="40"/>
        <v>-0.0215332083417374</v>
      </c>
      <c r="D702">
        <f t="shared" si="43"/>
        <v>0.000285034552525154</v>
      </c>
      <c r="E702">
        <f t="shared" si="41"/>
        <v>0.000620071095880326</v>
      </c>
      <c r="F702">
        <f t="shared" si="42"/>
        <v>1.12249485383382e-7</v>
      </c>
    </row>
    <row r="703" spans="1:6">
      <c r="A703">
        <v>1.3576</v>
      </c>
      <c r="B703">
        <v>870.26</v>
      </c>
      <c r="C703">
        <f t="shared" si="40"/>
        <v>-0.0228226262709195</v>
      </c>
      <c r="D703">
        <f t="shared" si="43"/>
        <v>0.000374356807006911</v>
      </c>
      <c r="E703">
        <f t="shared" si="41"/>
        <v>0.000609911789935955</v>
      </c>
      <c r="F703">
        <f t="shared" si="42"/>
        <v>5.54861499827018e-8</v>
      </c>
    </row>
    <row r="704" spans="1:6">
      <c r="A704">
        <v>1.3445</v>
      </c>
      <c r="B704">
        <v>871.79</v>
      </c>
      <c r="C704">
        <f t="shared" si="40"/>
        <v>0.00175655164133952</v>
      </c>
      <c r="D704">
        <f t="shared" si="43"/>
        <v>0.000447614538454488</v>
      </c>
      <c r="E704">
        <f t="shared" si="41"/>
        <v>0.000598765859695901</v>
      </c>
      <c r="F704">
        <f t="shared" si="42"/>
        <v>2.28467219130246e-8</v>
      </c>
    </row>
    <row r="705" spans="1:6">
      <c r="A705">
        <v>1.3718</v>
      </c>
      <c r="B705">
        <v>842.62</v>
      </c>
      <c r="C705">
        <f t="shared" si="40"/>
        <v>-0.0340324838994555</v>
      </c>
      <c r="D705">
        <f t="shared" si="43"/>
        <v>0.00022535000606159</v>
      </c>
      <c r="E705">
        <f t="shared" si="41"/>
        <v>0.000599128735150965</v>
      </c>
      <c r="F705">
        <f t="shared" si="42"/>
        <v>1.39710538319668e-7</v>
      </c>
    </row>
    <row r="706" spans="1:6">
      <c r="A706">
        <v>1.3714</v>
      </c>
      <c r="B706">
        <v>843.74</v>
      </c>
      <c r="C706">
        <f t="shared" si="40"/>
        <v>0.0013283049463658</v>
      </c>
      <c r="D706">
        <f t="shared" si="43"/>
        <v>0.000691779983214144</v>
      </c>
      <c r="E706">
        <f t="shared" si="41"/>
        <v>0.000602194947760532</v>
      </c>
      <c r="F706">
        <f t="shared" si="42"/>
        <v>8.02547857722487e-9</v>
      </c>
    </row>
    <row r="707" spans="1:6">
      <c r="A707">
        <v>1.3495</v>
      </c>
      <c r="B707">
        <v>850.12</v>
      </c>
      <c r="C707">
        <f t="shared" si="40"/>
        <v>0.00753312572583639</v>
      </c>
      <c r="D707">
        <f t="shared" si="43"/>
        <v>0.000346772188622342</v>
      </c>
      <c r="E707">
        <f t="shared" si="41"/>
        <v>0.000676402625501699</v>
      </c>
      <c r="F707">
        <f t="shared" si="42"/>
        <v>1.08656224917276e-7</v>
      </c>
    </row>
    <row r="708" spans="1:6">
      <c r="A708">
        <v>1.3347</v>
      </c>
      <c r="B708">
        <v>805.22</v>
      </c>
      <c r="C708">
        <f t="shared" ref="C708:C771" si="44">LN(B708/B707)</f>
        <v>-0.0542619839838968</v>
      </c>
      <c r="D708">
        <f t="shared" si="43"/>
        <v>0.0002017600859118</v>
      </c>
      <c r="E708">
        <f t="shared" ref="E708:E771" si="45">_xlfn.VAR.S(C708:C733)</f>
        <v>0.000673306419475455</v>
      </c>
      <c r="F708">
        <f t="shared" ref="F708:F771" si="46">(D708-E708)^2</f>
        <v>2.22355944697326e-7</v>
      </c>
    </row>
    <row r="709" spans="1:6">
      <c r="A709">
        <v>1.3198</v>
      </c>
      <c r="B709">
        <v>840.24</v>
      </c>
      <c r="C709">
        <f t="shared" si="44"/>
        <v>0.0425720333079264</v>
      </c>
      <c r="D709">
        <f t="shared" ref="D709:D772" si="47">$H$1*D708+(1-$H$1)*C708^2</f>
        <v>0.00157306149589024</v>
      </c>
      <c r="E709">
        <f t="shared" si="45"/>
        <v>0.000575854795657521</v>
      </c>
      <c r="F709">
        <f t="shared" si="46"/>
        <v>9.9442120298902e-7</v>
      </c>
    </row>
    <row r="710" spans="1:6">
      <c r="A710">
        <v>1.3174</v>
      </c>
      <c r="B710">
        <v>827.5</v>
      </c>
      <c r="C710">
        <f t="shared" si="44"/>
        <v>-0.015278458063302</v>
      </c>
      <c r="D710">
        <f t="shared" si="47"/>
        <v>0.00169271975793072</v>
      </c>
      <c r="E710">
        <f t="shared" si="45"/>
        <v>0.00050557023212195</v>
      </c>
      <c r="F710">
        <f t="shared" si="46"/>
        <v>1.40932399662798e-6</v>
      </c>
    </row>
    <row r="711" spans="1:6">
      <c r="A711">
        <v>1.3094</v>
      </c>
      <c r="B711">
        <v>831.95</v>
      </c>
      <c r="C711">
        <f t="shared" si="44"/>
        <v>0.0053632356102984</v>
      </c>
      <c r="D711">
        <f t="shared" si="47"/>
        <v>0.000963075519361397</v>
      </c>
      <c r="E711">
        <f t="shared" si="45"/>
        <v>0.000572428648126765</v>
      </c>
      <c r="F711">
        <f t="shared" si="46"/>
        <v>1.52604978005407e-7</v>
      </c>
    </row>
    <row r="712" spans="1:6">
      <c r="A712">
        <v>1.3244</v>
      </c>
      <c r="B712">
        <v>836.57</v>
      </c>
      <c r="C712">
        <f t="shared" si="44"/>
        <v>0.00553785607258671</v>
      </c>
      <c r="D712">
        <f t="shared" si="47"/>
        <v>0.000495919907786485</v>
      </c>
      <c r="E712">
        <f t="shared" si="45"/>
        <v>0.00056668863284696</v>
      </c>
      <c r="F712">
        <f t="shared" si="46"/>
        <v>5.00821244668509e-9</v>
      </c>
    </row>
    <row r="713" spans="1:6">
      <c r="A713">
        <v>1.2946</v>
      </c>
      <c r="B713">
        <v>845.71</v>
      </c>
      <c r="C713">
        <f t="shared" si="44"/>
        <v>0.0108663123082274</v>
      </c>
      <c r="D713">
        <f t="shared" si="47"/>
        <v>0.000263293878833585</v>
      </c>
      <c r="E713">
        <f t="shared" si="45"/>
        <v>0.000596832083294696</v>
      </c>
      <c r="F713">
        <f t="shared" si="46"/>
        <v>1.11247733835142e-7</v>
      </c>
    </row>
    <row r="714" spans="1:6">
      <c r="A714">
        <v>1.287</v>
      </c>
      <c r="B714">
        <v>874.09</v>
      </c>
      <c r="C714">
        <f t="shared" si="44"/>
        <v>0.0330068339400366</v>
      </c>
      <c r="D714">
        <f t="shared" si="47"/>
        <v>0.00019068531100676</v>
      </c>
      <c r="E714">
        <f t="shared" si="45"/>
        <v>0.000636381493640536</v>
      </c>
      <c r="F714">
        <f t="shared" si="46"/>
        <v>1.98645087214321e-7</v>
      </c>
    </row>
    <row r="715" spans="1:6">
      <c r="A715">
        <v>1.2955</v>
      </c>
      <c r="B715">
        <v>845.14</v>
      </c>
      <c r="C715">
        <f t="shared" si="44"/>
        <v>-0.0336810510753143</v>
      </c>
      <c r="D715">
        <f t="shared" si="47"/>
        <v>0.000640068198875956</v>
      </c>
      <c r="E715">
        <f t="shared" si="45"/>
        <v>0.000570340761383655</v>
      </c>
      <c r="F715">
        <f t="shared" si="46"/>
        <v>4.86191553924268e-9</v>
      </c>
    </row>
    <row r="716" spans="1:6">
      <c r="A716">
        <v>1.2849</v>
      </c>
      <c r="B716">
        <v>825.88</v>
      </c>
      <c r="C716">
        <f t="shared" si="44"/>
        <v>-0.0230528095903741</v>
      </c>
      <c r="D716">
        <f t="shared" si="47"/>
        <v>0.000887240700206943</v>
      </c>
      <c r="E716">
        <f t="shared" si="45"/>
        <v>0.000546044642376512</v>
      </c>
      <c r="F716">
        <f t="shared" si="46"/>
        <v>1.16414749879027e-7</v>
      </c>
    </row>
    <row r="717" spans="1:6">
      <c r="A717">
        <v>1.3123</v>
      </c>
      <c r="B717">
        <v>825.44</v>
      </c>
      <c r="C717">
        <f t="shared" si="44"/>
        <v>-0.000532907020338771</v>
      </c>
      <c r="D717">
        <f t="shared" si="47"/>
        <v>0.000709336365108494</v>
      </c>
      <c r="E717">
        <f t="shared" si="45"/>
        <v>0.000724142155022067</v>
      </c>
      <c r="F717">
        <f t="shared" si="46"/>
        <v>2.19211414964858e-10</v>
      </c>
    </row>
    <row r="718" spans="1:6">
      <c r="A718">
        <v>1.3159</v>
      </c>
      <c r="B718">
        <v>838.51</v>
      </c>
      <c r="C718">
        <f t="shared" si="44"/>
        <v>0.0157099297542465</v>
      </c>
      <c r="D718">
        <f t="shared" si="47"/>
        <v>0.00035481017750041</v>
      </c>
      <c r="E718">
        <f t="shared" si="45"/>
        <v>0.000725617152362439</v>
      </c>
      <c r="F718">
        <f t="shared" si="46"/>
        <v>1.37497812606329e-7</v>
      </c>
    </row>
    <row r="719" spans="1:6">
      <c r="A719">
        <v>1.3244</v>
      </c>
      <c r="B719">
        <v>832.23</v>
      </c>
      <c r="C719">
        <f t="shared" si="44"/>
        <v>-0.00751766232481969</v>
      </c>
      <c r="D719">
        <f t="shared" si="47"/>
        <v>0.000300806035191885</v>
      </c>
      <c r="E719">
        <f t="shared" si="45"/>
        <v>0.000788631343280969</v>
      </c>
      <c r="F719">
        <f t="shared" si="46"/>
        <v>2.3797353121221e-7</v>
      </c>
    </row>
    <row r="720" spans="1:6">
      <c r="A720">
        <v>1.2988</v>
      </c>
      <c r="B720">
        <v>845.85</v>
      </c>
      <c r="C720">
        <f t="shared" si="44"/>
        <v>0.0162331939955343</v>
      </c>
      <c r="D720">
        <f t="shared" si="47"/>
        <v>0.000178660641010949</v>
      </c>
      <c r="E720">
        <f t="shared" si="45"/>
        <v>0.00079357161301837</v>
      </c>
      <c r="F720">
        <f t="shared" si="46"/>
        <v>3.78115503495111e-7</v>
      </c>
    </row>
    <row r="721" spans="1:6">
      <c r="A721">
        <v>1.2804</v>
      </c>
      <c r="B721">
        <v>868.6</v>
      </c>
      <c r="C721">
        <f t="shared" si="44"/>
        <v>0.0265406811794206</v>
      </c>
      <c r="D721">
        <f t="shared" si="47"/>
        <v>0.0002210886141538</v>
      </c>
      <c r="E721">
        <f t="shared" si="45"/>
        <v>0.000777131430242013</v>
      </c>
      <c r="F721">
        <f t="shared" si="46"/>
        <v>3.0918361332331e-7</v>
      </c>
    </row>
    <row r="722" spans="1:6">
      <c r="A722">
        <v>1.2808</v>
      </c>
      <c r="B722">
        <v>869.89</v>
      </c>
      <c r="C722">
        <f t="shared" si="44"/>
        <v>0.00148404677249502</v>
      </c>
      <c r="D722">
        <f t="shared" si="47"/>
        <v>0.000462748185810725</v>
      </c>
      <c r="E722">
        <f t="shared" si="45"/>
        <v>0.000790748174776534</v>
      </c>
      <c r="F722">
        <f t="shared" si="46"/>
        <v>1.0758399276157e-7</v>
      </c>
    </row>
    <row r="723" spans="1:6">
      <c r="A723">
        <v>1.301</v>
      </c>
      <c r="B723">
        <v>827.16</v>
      </c>
      <c r="C723">
        <f t="shared" si="44"/>
        <v>-0.0503686201876558</v>
      </c>
      <c r="D723">
        <f t="shared" si="47"/>
        <v>0.000232475290316839</v>
      </c>
      <c r="E723">
        <f t="shared" si="45"/>
        <v>0.000813626189240021</v>
      </c>
      <c r="F723">
        <f t="shared" si="46"/>
        <v>3.37736367319222e-7</v>
      </c>
    </row>
    <row r="724" spans="1:6">
      <c r="A724">
        <v>1.2857</v>
      </c>
      <c r="B724">
        <v>833.74</v>
      </c>
      <c r="C724">
        <f t="shared" si="44"/>
        <v>0.00792345646934573</v>
      </c>
      <c r="D724">
        <f t="shared" si="47"/>
        <v>0.00138473659496258</v>
      </c>
      <c r="E724">
        <f t="shared" si="45"/>
        <v>0.00072725936208891</v>
      </c>
      <c r="F724">
        <f t="shared" si="46"/>
        <v>4.32276311747222e-7</v>
      </c>
    </row>
    <row r="725" spans="1:6">
      <c r="A725">
        <v>1.2838</v>
      </c>
      <c r="B725">
        <v>835.19</v>
      </c>
      <c r="C725">
        <f t="shared" si="44"/>
        <v>0.00173764072171222</v>
      </c>
      <c r="D725">
        <f t="shared" si="47"/>
        <v>0.0007237588786921</v>
      </c>
      <c r="E725">
        <f t="shared" si="45"/>
        <v>0.000734904732944198</v>
      </c>
      <c r="F725">
        <f t="shared" si="46"/>
        <v>1.24230067009007e-10</v>
      </c>
    </row>
    <row r="726" spans="1:6">
      <c r="A726">
        <v>1.2874</v>
      </c>
      <c r="B726">
        <v>826.84</v>
      </c>
      <c r="C726">
        <f t="shared" si="44"/>
        <v>-0.0100480379455834</v>
      </c>
      <c r="D726">
        <f t="shared" si="47"/>
        <v>0.000363389136984926</v>
      </c>
      <c r="E726">
        <f t="shared" si="45"/>
        <v>0.000931606482323055</v>
      </c>
      <c r="F726">
        <f t="shared" si="46"/>
        <v>3.2287095154311e-7</v>
      </c>
    </row>
    <row r="727" spans="1:6">
      <c r="A727">
        <v>1.3064</v>
      </c>
      <c r="B727">
        <v>789.17</v>
      </c>
      <c r="C727">
        <f t="shared" si="44"/>
        <v>-0.0466294456829958</v>
      </c>
      <c r="D727">
        <f t="shared" si="47"/>
        <v>0.000232176101770405</v>
      </c>
      <c r="E727">
        <f t="shared" si="45"/>
        <v>0.000943931969600797</v>
      </c>
      <c r="F727">
        <f t="shared" si="46"/>
        <v>5.06596415390994e-7</v>
      </c>
    </row>
    <row r="728" spans="1:6">
      <c r="A728">
        <v>1.2966</v>
      </c>
      <c r="B728">
        <v>788.42</v>
      </c>
      <c r="C728">
        <f t="shared" si="44"/>
        <v>-0.000950817457645347</v>
      </c>
      <c r="D728">
        <f t="shared" si="47"/>
        <v>0.00120324065323693</v>
      </c>
      <c r="E728">
        <f t="shared" si="45"/>
        <v>0.000860159542119936</v>
      </c>
      <c r="F728">
        <f t="shared" si="46"/>
        <v>1.17704648805272e-7</v>
      </c>
    </row>
    <row r="729" spans="1:6">
      <c r="A729">
        <v>1.2893</v>
      </c>
      <c r="B729">
        <v>778.94</v>
      </c>
      <c r="C729">
        <f t="shared" si="44"/>
        <v>-0.0120969217088285</v>
      </c>
      <c r="D729">
        <f t="shared" si="47"/>
        <v>0.000602072353537347</v>
      </c>
      <c r="E729">
        <f t="shared" si="45"/>
        <v>0.000878216823809304</v>
      </c>
      <c r="F729">
        <f t="shared" si="46"/>
        <v>7.62557684617797e-8</v>
      </c>
    </row>
    <row r="730" spans="1:6">
      <c r="A730">
        <v>1.2822</v>
      </c>
      <c r="B730">
        <v>770.05</v>
      </c>
      <c r="C730">
        <f t="shared" si="44"/>
        <v>-0.0114785732770911</v>
      </c>
      <c r="D730">
        <f t="shared" si="47"/>
        <v>0.000374203934183436</v>
      </c>
      <c r="E730">
        <f t="shared" si="45"/>
        <v>0.000890526681164884</v>
      </c>
      <c r="F730">
        <f t="shared" si="46"/>
        <v>2.66589179050468e-7</v>
      </c>
    </row>
    <row r="731" spans="1:6">
      <c r="A731">
        <v>1.2879</v>
      </c>
      <c r="B731">
        <v>743.33</v>
      </c>
      <c r="C731">
        <f t="shared" si="44"/>
        <v>-0.0353153563334069</v>
      </c>
      <c r="D731">
        <f t="shared" si="47"/>
        <v>0.000252980789330493</v>
      </c>
      <c r="E731">
        <f t="shared" si="45"/>
        <v>0.000938032402101092</v>
      </c>
      <c r="F731">
        <f t="shared" si="46"/>
        <v>4.69295712159598e-7</v>
      </c>
    </row>
    <row r="732" spans="1:6">
      <c r="A732">
        <v>1.2571</v>
      </c>
      <c r="B732">
        <v>773.14</v>
      </c>
      <c r="C732">
        <f t="shared" si="44"/>
        <v>0.0393200532659692</v>
      </c>
      <c r="D732">
        <f t="shared" si="47"/>
        <v>0.000750077591142998</v>
      </c>
      <c r="E732">
        <f t="shared" si="45"/>
        <v>0.000888013627456325</v>
      </c>
      <c r="F732">
        <f t="shared" si="46"/>
        <v>1.90263501138315e-8</v>
      </c>
    </row>
    <row r="733" spans="1:6">
      <c r="A733">
        <v>1.2547</v>
      </c>
      <c r="B733">
        <v>764.9</v>
      </c>
      <c r="C733">
        <f t="shared" si="44"/>
        <v>-0.0107150384092163</v>
      </c>
      <c r="D733">
        <f t="shared" si="47"/>
        <v>0.00114807208999083</v>
      </c>
      <c r="E733">
        <f t="shared" si="45"/>
        <v>0.000841139098505584</v>
      </c>
      <c r="F733">
        <f t="shared" si="46"/>
        <v>9.42078612620799e-8</v>
      </c>
    </row>
    <row r="734" spans="1:6">
      <c r="A734">
        <v>1.2675</v>
      </c>
      <c r="B734">
        <v>752.83</v>
      </c>
      <c r="C734">
        <f t="shared" si="44"/>
        <v>-0.0159056676285851</v>
      </c>
      <c r="D734">
        <f t="shared" si="47"/>
        <v>0.000631442069050904</v>
      </c>
      <c r="E734">
        <f t="shared" si="45"/>
        <v>0.000860533833741556</v>
      </c>
      <c r="F734">
        <f t="shared" si="46"/>
        <v>5.2483036649077e-8</v>
      </c>
    </row>
    <row r="735" spans="1:6">
      <c r="A735">
        <v>1.269</v>
      </c>
      <c r="B735">
        <v>735.09</v>
      </c>
      <c r="C735">
        <f t="shared" si="44"/>
        <v>-0.023846498003071</v>
      </c>
      <c r="D735">
        <f t="shared" si="47"/>
        <v>0.000442216165880962</v>
      </c>
      <c r="E735">
        <f t="shared" si="45"/>
        <v>0.000846312562710615</v>
      </c>
      <c r="F735">
        <f t="shared" si="46"/>
        <v>1.63293897930709e-7</v>
      </c>
    </row>
    <row r="736" spans="1:6">
      <c r="A736">
        <v>1.2747</v>
      </c>
      <c r="B736">
        <v>700.82</v>
      </c>
      <c r="C736">
        <f t="shared" si="44"/>
        <v>-0.0477418626684212</v>
      </c>
      <c r="D736">
        <f t="shared" si="47"/>
        <v>0.000505435816445716</v>
      </c>
      <c r="E736">
        <f t="shared" si="45"/>
        <v>0.00082063832373168</v>
      </c>
      <c r="F736">
        <f t="shared" si="46"/>
        <v>9.93526205993582e-8</v>
      </c>
    </row>
    <row r="737" spans="1:6">
      <c r="A737">
        <v>1.2742</v>
      </c>
      <c r="B737">
        <v>696.33</v>
      </c>
      <c r="C737">
        <f t="shared" si="44"/>
        <v>-0.00642739213016041</v>
      </c>
      <c r="D737">
        <f t="shared" si="47"/>
        <v>0.00139236063374805</v>
      </c>
      <c r="E737">
        <f t="shared" si="45"/>
        <v>0.000742631830535457</v>
      </c>
      <c r="F737">
        <f t="shared" si="46"/>
        <v>4.22147517724073e-7</v>
      </c>
    </row>
    <row r="738" spans="1:6">
      <c r="A738">
        <v>1.2731</v>
      </c>
      <c r="B738">
        <v>712.87</v>
      </c>
      <c r="C738">
        <f t="shared" si="44"/>
        <v>0.0234753897021649</v>
      </c>
      <c r="D738">
        <f t="shared" si="47"/>
        <v>0.00071683600167145</v>
      </c>
      <c r="E738">
        <f t="shared" si="45"/>
        <v>0.000737499090515026</v>
      </c>
      <c r="F738">
        <f t="shared" si="46"/>
        <v>4.2696324055748e-10</v>
      </c>
    </row>
    <row r="739" spans="1:6">
      <c r="A739">
        <v>1.2764</v>
      </c>
      <c r="B739">
        <v>682.55</v>
      </c>
      <c r="C739">
        <f t="shared" si="44"/>
        <v>-0.0434632911507607</v>
      </c>
      <c r="D739">
        <f t="shared" si="47"/>
        <v>0.00063396496166998</v>
      </c>
      <c r="E739">
        <f t="shared" si="45"/>
        <v>0.000763705981111959</v>
      </c>
      <c r="F739">
        <f t="shared" si="46"/>
        <v>1.68327321258441e-8</v>
      </c>
    </row>
    <row r="740" spans="1:6">
      <c r="A740">
        <v>1.2662</v>
      </c>
      <c r="B740">
        <v>683.38</v>
      </c>
      <c r="C740">
        <f t="shared" si="44"/>
        <v>0.00121528936644527</v>
      </c>
      <c r="D740">
        <f t="shared" si="47"/>
        <v>0.00126151131966289</v>
      </c>
      <c r="E740">
        <f t="shared" si="45"/>
        <v>0.000659158930383711</v>
      </c>
      <c r="F740">
        <f t="shared" si="46"/>
        <v>3.62828400870332e-7</v>
      </c>
    </row>
    <row r="741" spans="1:6">
      <c r="A741">
        <v>1.258</v>
      </c>
      <c r="B741">
        <v>676.53</v>
      </c>
      <c r="C741">
        <f t="shared" si="44"/>
        <v>-0.010074281289835</v>
      </c>
      <c r="D741">
        <f t="shared" si="47"/>
        <v>0.000631494123953541</v>
      </c>
      <c r="E741">
        <f t="shared" si="45"/>
        <v>0.000690001057098806</v>
      </c>
      <c r="F741">
        <f t="shared" si="46"/>
        <v>3.42306122606456e-9</v>
      </c>
    </row>
    <row r="742" spans="1:6">
      <c r="A742">
        <v>1.2549</v>
      </c>
      <c r="B742">
        <v>719.6</v>
      </c>
      <c r="C742">
        <f t="shared" si="44"/>
        <v>0.0617187095507812</v>
      </c>
      <c r="D742">
        <f t="shared" si="47"/>
        <v>0.00036649263373013</v>
      </c>
      <c r="E742">
        <f t="shared" si="45"/>
        <v>0.000676942100802613</v>
      </c>
      <c r="F742">
        <f t="shared" si="46"/>
        <v>9.63788716055884e-8</v>
      </c>
    </row>
    <row r="743" spans="1:6">
      <c r="A743">
        <v>1.2607</v>
      </c>
      <c r="B743">
        <v>721.36</v>
      </c>
      <c r="C743">
        <f t="shared" si="44"/>
        <v>0.00244281711527321</v>
      </c>
      <c r="D743">
        <f t="shared" si="47"/>
        <v>0.00208784587117191</v>
      </c>
      <c r="E743">
        <f t="shared" si="45"/>
        <v>0.000563649072857786</v>
      </c>
      <c r="F743">
        <f t="shared" si="46"/>
        <v>2.32317587999103e-6</v>
      </c>
    </row>
    <row r="744" spans="1:6">
      <c r="A744">
        <v>1.2565</v>
      </c>
      <c r="B744">
        <v>750.74</v>
      </c>
      <c r="C744">
        <f t="shared" si="44"/>
        <v>0.0399210675697561</v>
      </c>
      <c r="D744">
        <f t="shared" si="47"/>
        <v>0.00104690661331529</v>
      </c>
      <c r="E744">
        <f t="shared" si="45"/>
        <v>0.000562957155741384</v>
      </c>
      <c r="F744">
        <f t="shared" si="46"/>
        <v>2.34207077486079e-7</v>
      </c>
    </row>
    <row r="745" spans="1:6">
      <c r="A745">
        <v>1.2674</v>
      </c>
      <c r="B745">
        <v>756.55</v>
      </c>
      <c r="C745">
        <f t="shared" si="44"/>
        <v>0.00770923813617218</v>
      </c>
      <c r="D745">
        <f t="shared" si="47"/>
        <v>0.00132029912461216</v>
      </c>
      <c r="E745">
        <f t="shared" si="45"/>
        <v>0.000613049740610776</v>
      </c>
      <c r="F745">
        <f t="shared" si="46"/>
        <v>5.00201691170339e-7</v>
      </c>
    </row>
    <row r="746" spans="1:6">
      <c r="A746">
        <v>1.2636</v>
      </c>
      <c r="B746">
        <v>753.89</v>
      </c>
      <c r="C746">
        <f t="shared" si="44"/>
        <v>-0.00352215612656422</v>
      </c>
      <c r="D746">
        <f t="shared" si="47"/>
        <v>0.000689865738626186</v>
      </c>
      <c r="E746">
        <f t="shared" si="45"/>
        <v>0.000623857512148724</v>
      </c>
      <c r="F746">
        <f t="shared" si="46"/>
        <v>4.3570859627e-9</v>
      </c>
    </row>
    <row r="747" spans="1:6">
      <c r="A747">
        <v>1.2752</v>
      </c>
      <c r="B747">
        <v>778.12</v>
      </c>
      <c r="C747">
        <f t="shared" si="44"/>
        <v>0.0316342851586007</v>
      </c>
      <c r="D747">
        <f t="shared" si="47"/>
        <v>0.00035113566120304</v>
      </c>
      <c r="E747">
        <f t="shared" si="45"/>
        <v>0.000627215286570029</v>
      </c>
      <c r="F747">
        <f t="shared" si="46"/>
        <v>7.62199595427768e-8</v>
      </c>
    </row>
    <row r="748" spans="1:6">
      <c r="A748">
        <v>1.2774</v>
      </c>
      <c r="B748">
        <v>794.35</v>
      </c>
      <c r="C748">
        <f t="shared" si="44"/>
        <v>0.0206434162364164</v>
      </c>
      <c r="D748">
        <f t="shared" si="47"/>
        <v>0.000675931829349352</v>
      </c>
      <c r="E748">
        <f t="shared" si="45"/>
        <v>0.000597881126603072</v>
      </c>
      <c r="F748">
        <f t="shared" si="46"/>
        <v>6.09191219918814e-9</v>
      </c>
    </row>
    <row r="749" spans="1:6">
      <c r="A749">
        <v>1.2799</v>
      </c>
      <c r="B749">
        <v>784.04</v>
      </c>
      <c r="C749">
        <f t="shared" si="44"/>
        <v>-0.0130641307089583</v>
      </c>
      <c r="D749">
        <f t="shared" si="47"/>
        <v>0.000551041231629646</v>
      </c>
      <c r="E749">
        <f t="shared" si="45"/>
        <v>0.000593021206289316</v>
      </c>
      <c r="F749">
        <f t="shared" si="46"/>
        <v>1.76231827242655e-9</v>
      </c>
    </row>
    <row r="750" spans="1:6">
      <c r="A750">
        <v>1.2891</v>
      </c>
      <c r="B750">
        <v>768.54</v>
      </c>
      <c r="C750">
        <f t="shared" si="44"/>
        <v>-0.0199674283859747</v>
      </c>
      <c r="D750">
        <f t="shared" si="47"/>
        <v>0.000360856371405197</v>
      </c>
      <c r="E750">
        <f t="shared" si="45"/>
        <v>0.000589490269823996</v>
      </c>
      <c r="F750">
        <f t="shared" si="46"/>
        <v>5.22734595061776e-8</v>
      </c>
    </row>
    <row r="751" spans="1:6">
      <c r="A751">
        <v>1.2997</v>
      </c>
      <c r="B751">
        <v>822.92</v>
      </c>
      <c r="C751">
        <f t="shared" si="44"/>
        <v>0.0683663795349302</v>
      </c>
      <c r="D751">
        <f t="shared" si="47"/>
        <v>0.000379777283877112</v>
      </c>
      <c r="E751">
        <f t="shared" si="45"/>
        <v>0.000568640358572509</v>
      </c>
      <c r="F751">
        <f t="shared" si="46"/>
        <v>3.56692609833989e-8</v>
      </c>
    </row>
    <row r="752" spans="1:6">
      <c r="A752">
        <v>1.2972</v>
      </c>
      <c r="B752">
        <v>806.12</v>
      </c>
      <c r="C752">
        <f t="shared" si="44"/>
        <v>-0.0206263758067414</v>
      </c>
      <c r="D752">
        <f t="shared" si="47"/>
        <v>0.00252686956729562</v>
      </c>
      <c r="E752">
        <f t="shared" si="45"/>
        <v>0.000412009136910981</v>
      </c>
      <c r="F752">
        <f t="shared" si="46"/>
        <v>4.47263464000669e-6</v>
      </c>
    </row>
    <row r="753" spans="1:6">
      <c r="A753">
        <v>1.311</v>
      </c>
      <c r="B753">
        <v>813.88</v>
      </c>
      <c r="C753">
        <f t="shared" si="44"/>
        <v>0.00958032018841365</v>
      </c>
      <c r="D753">
        <f t="shared" si="47"/>
        <v>0.00147615847310827</v>
      </c>
      <c r="E753">
        <f t="shared" si="45"/>
        <v>0.000390810849228718</v>
      </c>
      <c r="F753">
        <f t="shared" si="46"/>
        <v>1.177979464661e-6</v>
      </c>
    </row>
    <row r="754" spans="1:6">
      <c r="A754">
        <v>1.373</v>
      </c>
      <c r="B754">
        <v>832.86</v>
      </c>
      <c r="C754">
        <f t="shared" si="44"/>
        <v>0.0230526258273708</v>
      </c>
      <c r="D754">
        <f t="shared" si="47"/>
        <v>0.000783970504010399</v>
      </c>
      <c r="E754">
        <f t="shared" si="45"/>
        <v>0.00038929782276549</v>
      </c>
      <c r="F754">
        <f t="shared" si="46"/>
        <v>1.55766525321046e-7</v>
      </c>
    </row>
    <row r="755" spans="1:6">
      <c r="A755">
        <v>1.3566</v>
      </c>
      <c r="B755">
        <v>815.94</v>
      </c>
      <c r="C755">
        <f t="shared" si="44"/>
        <v>-0.0205247379661503</v>
      </c>
      <c r="D755">
        <f t="shared" si="47"/>
        <v>0.000657697030773581</v>
      </c>
      <c r="E755">
        <f t="shared" si="45"/>
        <v>0.000409878578551711</v>
      </c>
      <c r="F755">
        <f t="shared" si="46"/>
        <v>6.14139852616432e-8</v>
      </c>
    </row>
    <row r="756" spans="1:6">
      <c r="A756">
        <v>1.3569</v>
      </c>
      <c r="B756">
        <v>787.53</v>
      </c>
      <c r="C756">
        <f t="shared" si="44"/>
        <v>-0.0354393576366445</v>
      </c>
      <c r="D756">
        <f t="shared" si="47"/>
        <v>0.000539480949676356</v>
      </c>
      <c r="E756">
        <f t="shared" si="45"/>
        <v>0.000388772559915868</v>
      </c>
      <c r="F756">
        <f t="shared" si="46"/>
        <v>2.27130187441994e-8</v>
      </c>
    </row>
    <row r="757" spans="1:6">
      <c r="A757">
        <v>1.3524</v>
      </c>
      <c r="B757">
        <v>797.87</v>
      </c>
      <c r="C757">
        <f t="shared" si="44"/>
        <v>0.0130442116985299</v>
      </c>
      <c r="D757">
        <f t="shared" si="47"/>
        <v>0.000897714509687175</v>
      </c>
      <c r="E757">
        <f t="shared" si="45"/>
        <v>0.000329590556940341</v>
      </c>
      <c r="F757">
        <f t="shared" si="46"/>
        <v>3.22764825684686e-7</v>
      </c>
    </row>
    <row r="758" spans="1:6">
      <c r="A758">
        <v>1.3539</v>
      </c>
      <c r="B758">
        <v>811.08</v>
      </c>
      <c r="C758">
        <f t="shared" si="44"/>
        <v>0.0164210159894551</v>
      </c>
      <c r="D758">
        <f t="shared" si="47"/>
        <v>0.000533932984261619</v>
      </c>
      <c r="E758">
        <f t="shared" si="45"/>
        <v>0.000341339275208542</v>
      </c>
      <c r="F758">
        <f t="shared" si="46"/>
        <v>3.70923367668216e-8</v>
      </c>
    </row>
    <row r="759" spans="1:6">
      <c r="A759">
        <v>1.356</v>
      </c>
      <c r="B759">
        <v>834.38</v>
      </c>
      <c r="C759">
        <f t="shared" si="44"/>
        <v>0.0283222411797595</v>
      </c>
      <c r="D759">
        <f t="shared" si="47"/>
        <v>0.00040179137519378</v>
      </c>
      <c r="E759">
        <f t="shared" si="45"/>
        <v>0.00035018285528224</v>
      </c>
      <c r="F759">
        <f t="shared" si="46"/>
        <v>2.66343932745983e-9</v>
      </c>
    </row>
    <row r="760" spans="1:6">
      <c r="A760">
        <v>1.3306</v>
      </c>
      <c r="B760">
        <v>842.5</v>
      </c>
      <c r="C760">
        <f t="shared" si="44"/>
        <v>0.00968472814649412</v>
      </c>
      <c r="D760">
        <f t="shared" si="47"/>
        <v>0.000601970360319122</v>
      </c>
      <c r="E760">
        <f t="shared" si="45"/>
        <v>0.000354108198352582</v>
      </c>
      <c r="F760">
        <f t="shared" si="46"/>
        <v>6.14356513347274e-8</v>
      </c>
    </row>
    <row r="761" spans="1:6">
      <c r="A761">
        <v>1.3146</v>
      </c>
      <c r="B761">
        <v>835.48</v>
      </c>
      <c r="C761">
        <f t="shared" si="44"/>
        <v>-0.00836725223940041</v>
      </c>
      <c r="D761">
        <f t="shared" si="47"/>
        <v>0.000347882159795309</v>
      </c>
      <c r="E761">
        <f t="shared" si="45"/>
        <v>0.000353039096707762</v>
      </c>
      <c r="F761">
        <f t="shared" si="46"/>
        <v>2.65939983190268e-11</v>
      </c>
    </row>
    <row r="762" spans="1:6">
      <c r="A762">
        <v>1.3261</v>
      </c>
      <c r="B762">
        <v>815.55</v>
      </c>
      <c r="C762">
        <f t="shared" si="44"/>
        <v>-0.024143677727077</v>
      </c>
      <c r="D762">
        <f t="shared" si="47"/>
        <v>0.00020894653491653</v>
      </c>
      <c r="E762">
        <f t="shared" si="45"/>
        <v>0.000383796132979585</v>
      </c>
      <c r="F762">
        <f t="shared" si="46"/>
        <v>3.05723819428118e-8</v>
      </c>
    </row>
    <row r="763" spans="1:6">
      <c r="A763">
        <v>1.3223</v>
      </c>
      <c r="B763">
        <v>825.16</v>
      </c>
      <c r="C763">
        <f t="shared" si="44"/>
        <v>0.011714574664768</v>
      </c>
      <c r="D763">
        <f t="shared" si="47"/>
        <v>0.000395931854552742</v>
      </c>
      <c r="E763">
        <f t="shared" si="45"/>
        <v>0.000356923917666789</v>
      </c>
      <c r="F763">
        <f t="shared" si="46"/>
        <v>1.52161914009846e-9</v>
      </c>
    </row>
    <row r="764" spans="1:6">
      <c r="A764">
        <v>1.3458</v>
      </c>
      <c r="B764">
        <v>856.56</v>
      </c>
      <c r="C764">
        <f t="shared" si="44"/>
        <v>0.0373470609252073</v>
      </c>
      <c r="D764">
        <f t="shared" si="47"/>
        <v>0.000266581557064583</v>
      </c>
      <c r="E764">
        <f t="shared" si="45"/>
        <v>0.000362354103746244</v>
      </c>
      <c r="F764">
        <f t="shared" si="46"/>
        <v>9.1723806978909e-9</v>
      </c>
    </row>
    <row r="765" spans="1:6">
      <c r="A765">
        <v>1.3447</v>
      </c>
      <c r="B765">
        <v>858.73</v>
      </c>
      <c r="C765">
        <f t="shared" si="44"/>
        <v>0.00253018575012516</v>
      </c>
      <c r="D765">
        <f t="shared" si="47"/>
        <v>0.000830692258407865</v>
      </c>
      <c r="E765">
        <f t="shared" si="45"/>
        <v>0.000343867098549156</v>
      </c>
      <c r="F765">
        <f t="shared" si="46"/>
        <v>2.36998736271457e-7</v>
      </c>
    </row>
    <row r="766" spans="1:6">
      <c r="A766">
        <v>1.3363</v>
      </c>
      <c r="B766">
        <v>841.5</v>
      </c>
      <c r="C766">
        <f t="shared" si="44"/>
        <v>-0.0202685399692789</v>
      </c>
      <c r="D766">
        <f t="shared" si="47"/>
        <v>0.000418547049169001</v>
      </c>
      <c r="E766">
        <f t="shared" si="45"/>
        <v>0.000344494544774492</v>
      </c>
      <c r="F766">
        <f t="shared" si="46"/>
        <v>5.48377340709872e-9</v>
      </c>
    </row>
    <row r="767" spans="1:6">
      <c r="A767">
        <v>1.3282</v>
      </c>
      <c r="B767">
        <v>852.06</v>
      </c>
      <c r="C767">
        <f t="shared" si="44"/>
        <v>0.0124709332541159</v>
      </c>
      <c r="D767">
        <f t="shared" si="47"/>
        <v>0.000414680380827628</v>
      </c>
      <c r="E767">
        <f t="shared" si="45"/>
        <v>0.000326165944129924</v>
      </c>
      <c r="F767">
        <f t="shared" si="46"/>
        <v>7.83480550391191e-9</v>
      </c>
    </row>
    <row r="768" spans="1:6">
      <c r="A768">
        <v>1.3288</v>
      </c>
      <c r="B768">
        <v>865.3</v>
      </c>
      <c r="C768">
        <f t="shared" si="44"/>
        <v>0.0154193207277164</v>
      </c>
      <c r="D768">
        <f t="shared" si="47"/>
        <v>0.000285102278528121</v>
      </c>
      <c r="E768">
        <f t="shared" si="45"/>
        <v>0.000336463203522447</v>
      </c>
      <c r="F768">
        <f t="shared" si="46"/>
        <v>2.63794461627273e-9</v>
      </c>
    </row>
    <row r="769" spans="1:6">
      <c r="A769">
        <v>1.3149</v>
      </c>
      <c r="B769">
        <v>869.6</v>
      </c>
      <c r="C769">
        <f t="shared" si="44"/>
        <v>0.00495706819430657</v>
      </c>
      <c r="D769">
        <f t="shared" si="47"/>
        <v>0.000261428865116153</v>
      </c>
      <c r="E769">
        <f t="shared" si="45"/>
        <v>0.000328772417683177</v>
      </c>
      <c r="F769">
        <f t="shared" si="46"/>
        <v>4.53515407234756e-9</v>
      </c>
    </row>
    <row r="770" spans="1:6">
      <c r="A770">
        <v>1.3143</v>
      </c>
      <c r="B770">
        <v>832.39</v>
      </c>
      <c r="C770">
        <f t="shared" si="44"/>
        <v>-0.0437322548147522</v>
      </c>
      <c r="D770">
        <f t="shared" si="47"/>
        <v>0.000143000695099579</v>
      </c>
      <c r="E770">
        <f t="shared" si="45"/>
        <v>0.000352471303899489</v>
      </c>
      <c r="F770">
        <f t="shared" si="46"/>
        <v>4.3877935951005e-8</v>
      </c>
    </row>
    <row r="771" spans="1:6">
      <c r="A771">
        <v>1.3354</v>
      </c>
      <c r="B771">
        <v>850.08</v>
      </c>
      <c r="C771">
        <f t="shared" si="44"/>
        <v>0.0210293817103856</v>
      </c>
      <c r="D771">
        <f t="shared" si="47"/>
        <v>0.001027755403141</v>
      </c>
      <c r="E771">
        <f t="shared" si="45"/>
        <v>0.000286253849797986</v>
      </c>
      <c r="F771">
        <f t="shared" si="46"/>
        <v>5.498245536101e-7</v>
      </c>
    </row>
    <row r="772" spans="1:6">
      <c r="A772">
        <v>1.3277</v>
      </c>
      <c r="B772">
        <v>843.55</v>
      </c>
      <c r="C772">
        <f t="shared" ref="C772:C835" si="48">LN(B772/B771)</f>
        <v>-0.0077112856506493</v>
      </c>
      <c r="D772">
        <f t="shared" si="47"/>
        <v>0.000734995149131049</v>
      </c>
      <c r="E772">
        <f t="shared" ref="E772:E835" si="49">_xlfn.VAR.S(C772:C797)</f>
        <v>0.00027911905556721</v>
      </c>
      <c r="F772">
        <f t="shared" ref="F772:F835" si="50">(D772-E772)^2</f>
        <v>2.07823012683026e-7</v>
      </c>
    </row>
    <row r="773" spans="1:6">
      <c r="A773">
        <v>1.3182</v>
      </c>
      <c r="B773">
        <v>851.92</v>
      </c>
      <c r="C773">
        <f t="shared" si="48"/>
        <v>0.00987344865514458</v>
      </c>
      <c r="D773">
        <f t="shared" ref="D773:D836" si="51">$H$1*D772+(1-$H$1)*C772^2</f>
        <v>0.00039722953775848</v>
      </c>
      <c r="E773">
        <f t="shared" si="49"/>
        <v>0.000279107070102575</v>
      </c>
      <c r="F773">
        <f t="shared" si="50"/>
        <v>1.39529173651202e-8</v>
      </c>
    </row>
    <row r="774" spans="1:6">
      <c r="A774">
        <v>1.3197</v>
      </c>
      <c r="B774">
        <v>866.23</v>
      </c>
      <c r="C774">
        <f t="shared" si="48"/>
        <v>0.0166578365073641</v>
      </c>
      <c r="D774">
        <f t="shared" si="51"/>
        <v>0.000247357263052128</v>
      </c>
      <c r="E774">
        <f t="shared" si="49"/>
        <v>0.000296698323545067</v>
      </c>
      <c r="F774">
        <f t="shared" si="50"/>
        <v>2.43454025056789e-9</v>
      </c>
    </row>
    <row r="775" spans="1:6">
      <c r="A775">
        <v>1.303</v>
      </c>
      <c r="B775">
        <v>857.51</v>
      </c>
      <c r="C775">
        <f t="shared" si="48"/>
        <v>-0.0101176214348157</v>
      </c>
      <c r="D775">
        <f t="shared" si="51"/>
        <v>0.0002624203900791</v>
      </c>
      <c r="E775">
        <f t="shared" si="49"/>
        <v>0.000290005310144382</v>
      </c>
      <c r="F775">
        <f t="shared" si="50"/>
        <v>7.60927815007987e-10</v>
      </c>
    </row>
    <row r="776" spans="1:6">
      <c r="A776">
        <v>1.2903</v>
      </c>
      <c r="B776">
        <v>855.16</v>
      </c>
      <c r="C776">
        <f t="shared" si="48"/>
        <v>-0.00274425484746963</v>
      </c>
      <c r="D776">
        <f t="shared" si="51"/>
        <v>0.000182393326788671</v>
      </c>
      <c r="E776">
        <f t="shared" si="49"/>
        <v>0.000294537349751776</v>
      </c>
      <c r="F776">
        <f t="shared" si="50"/>
        <v>1.25762818863495e-8</v>
      </c>
    </row>
    <row r="777" spans="1:6">
      <c r="A777">
        <v>1.2978</v>
      </c>
      <c r="B777">
        <v>873.64</v>
      </c>
      <c r="C777">
        <f t="shared" si="48"/>
        <v>0.0213798055560033</v>
      </c>
      <c r="D777">
        <f t="shared" si="51"/>
        <v>9.49621307282658e-5</v>
      </c>
      <c r="E777">
        <f t="shared" si="49"/>
        <v>0.00029552382933831</v>
      </c>
      <c r="F777">
        <f t="shared" si="50"/>
        <v>4.02249949493463e-8</v>
      </c>
    </row>
    <row r="778" spans="1:6">
      <c r="A778">
        <v>1.3012</v>
      </c>
      <c r="B778">
        <v>872.81</v>
      </c>
      <c r="C778">
        <f t="shared" si="48"/>
        <v>-0.000950499656432897</v>
      </c>
      <c r="D778">
        <f t="shared" si="51"/>
        <v>0.000276029108170388</v>
      </c>
      <c r="E778">
        <f t="shared" si="49"/>
        <v>0.000283762558902073</v>
      </c>
      <c r="F778">
        <f t="shared" si="50"/>
        <v>5.98062602193992e-11</v>
      </c>
    </row>
    <row r="779" spans="1:6">
      <c r="A779">
        <v>1.3048</v>
      </c>
      <c r="B779">
        <v>877.52</v>
      </c>
      <c r="C779">
        <f t="shared" si="48"/>
        <v>0.00538185527130107</v>
      </c>
      <c r="D779">
        <f t="shared" si="51"/>
        <v>0.000138466278883633</v>
      </c>
      <c r="E779">
        <f t="shared" si="49"/>
        <v>0.000283780962700101</v>
      </c>
      <c r="F779">
        <f t="shared" si="50"/>
        <v>2.111635733268e-8</v>
      </c>
    </row>
    <row r="780" spans="1:6">
      <c r="A780">
        <v>1.3277</v>
      </c>
      <c r="B780">
        <v>907.24</v>
      </c>
      <c r="C780">
        <f t="shared" si="48"/>
        <v>0.0333072766091565</v>
      </c>
      <c r="D780">
        <f t="shared" si="51"/>
        <v>8.37153225224322e-5</v>
      </c>
      <c r="E780">
        <f t="shared" si="49"/>
        <v>0.000283530885830457</v>
      </c>
      <c r="F780">
        <f t="shared" si="50"/>
        <v>3.9926259340103e-8</v>
      </c>
    </row>
    <row r="781" spans="1:6">
      <c r="A781">
        <v>1.3136</v>
      </c>
      <c r="B781">
        <v>903.8</v>
      </c>
      <c r="C781">
        <f t="shared" si="48"/>
        <v>-0.00379892673505589</v>
      </c>
      <c r="D781">
        <f t="shared" si="51"/>
        <v>0.000596544998820648</v>
      </c>
      <c r="E781">
        <f t="shared" si="49"/>
        <v>0.000245638355800325</v>
      </c>
      <c r="F781">
        <f t="shared" si="50"/>
        <v>1.23135472115792e-7</v>
      </c>
    </row>
    <row r="782" spans="1:6">
      <c r="A782">
        <v>1.3061</v>
      </c>
      <c r="B782">
        <v>919.53</v>
      </c>
      <c r="C782">
        <f t="shared" si="48"/>
        <v>0.0172545729623723</v>
      </c>
      <c r="D782">
        <f t="shared" si="51"/>
        <v>0.000305488421579485</v>
      </c>
      <c r="E782">
        <f t="shared" si="49"/>
        <v>0.000245343495645245</v>
      </c>
      <c r="F782">
        <f t="shared" si="50"/>
        <v>3.61741211563526e-9</v>
      </c>
    </row>
    <row r="783" spans="1:6">
      <c r="A783">
        <v>1.3324</v>
      </c>
      <c r="B783">
        <v>907.39</v>
      </c>
      <c r="C783">
        <f t="shared" si="48"/>
        <v>-0.0132903232685408</v>
      </c>
      <c r="D783">
        <f t="shared" si="51"/>
        <v>0.000301604354846657</v>
      </c>
      <c r="E783">
        <f t="shared" si="49"/>
        <v>0.000235295196062525</v>
      </c>
      <c r="F783">
        <f t="shared" si="50"/>
        <v>4.3969045386593e-9</v>
      </c>
    </row>
    <row r="784" spans="1:6">
      <c r="A784">
        <v>1.3244</v>
      </c>
      <c r="B784">
        <v>929.23</v>
      </c>
      <c r="C784">
        <f t="shared" si="48"/>
        <v>0.0237839395413461</v>
      </c>
      <c r="D784">
        <f t="shared" si="51"/>
        <v>0.000239118523714487</v>
      </c>
      <c r="E784">
        <f t="shared" si="49"/>
        <v>0.000252145749855842</v>
      </c>
      <c r="F784">
        <f t="shared" si="50"/>
        <v>1.69708620938005e-10</v>
      </c>
    </row>
    <row r="785" spans="1:6">
      <c r="A785">
        <v>1.3267</v>
      </c>
      <c r="B785">
        <v>909.24</v>
      </c>
      <c r="C785">
        <f t="shared" si="48"/>
        <v>-0.0217472004810747</v>
      </c>
      <c r="D785">
        <f t="shared" si="51"/>
        <v>0.000402397151910447</v>
      </c>
      <c r="E785">
        <f t="shared" si="49"/>
        <v>0.000236022901737407</v>
      </c>
      <c r="F785">
        <f t="shared" si="50"/>
        <v>2.76803911206412e-8</v>
      </c>
    </row>
    <row r="786" spans="1:6">
      <c r="A786">
        <v>1.3365</v>
      </c>
      <c r="B786">
        <v>908.35</v>
      </c>
      <c r="C786">
        <f t="shared" si="48"/>
        <v>-0.000979318846528272</v>
      </c>
      <c r="D786">
        <f t="shared" si="51"/>
        <v>0.000437668940337251</v>
      </c>
      <c r="E786">
        <f t="shared" si="49"/>
        <v>0.000217718537602859</v>
      </c>
      <c r="F786">
        <f t="shared" si="50"/>
        <v>4.83781796630215e-8</v>
      </c>
    </row>
    <row r="787" spans="1:6">
      <c r="A787">
        <v>1.3375</v>
      </c>
      <c r="B787">
        <v>883.92</v>
      </c>
      <c r="C787">
        <f t="shared" si="48"/>
        <v>-0.0272632060798346</v>
      </c>
      <c r="D787">
        <f t="shared" si="51"/>
        <v>0.000219314002870208</v>
      </c>
      <c r="E787">
        <f t="shared" si="49"/>
        <v>0.000220305220732875</v>
      </c>
      <c r="F787">
        <f t="shared" si="50"/>
        <v>9.82512851269058e-13</v>
      </c>
    </row>
    <row r="788" spans="1:6">
      <c r="A788">
        <v>1.3313</v>
      </c>
      <c r="B788">
        <v>893.07</v>
      </c>
      <c r="C788">
        <f t="shared" si="48"/>
        <v>0.0102984044574501</v>
      </c>
      <c r="D788">
        <f t="shared" si="51"/>
        <v>0.000481298204310869</v>
      </c>
      <c r="E788">
        <f t="shared" si="49"/>
        <v>0.000188516185047734</v>
      </c>
      <c r="F788">
        <f t="shared" si="50"/>
        <v>8.57213108037987e-8</v>
      </c>
    </row>
    <row r="789" spans="1:6">
      <c r="A789">
        <v>1.3411</v>
      </c>
      <c r="B789">
        <v>882.88</v>
      </c>
      <c r="C789">
        <f t="shared" si="48"/>
        <v>-0.0114756742334484</v>
      </c>
      <c r="D789">
        <f t="shared" si="51"/>
        <v>0.000293677669340049</v>
      </c>
      <c r="E789">
        <f t="shared" si="49"/>
        <v>0.0002255381062545</v>
      </c>
      <c r="F789">
        <f t="shared" si="50"/>
        <v>4.64300005748942e-9</v>
      </c>
    </row>
    <row r="790" spans="1:6">
      <c r="A790">
        <v>1.3494</v>
      </c>
      <c r="B790">
        <v>909.71</v>
      </c>
      <c r="C790">
        <f t="shared" si="48"/>
        <v>0.0299365763736111</v>
      </c>
      <c r="D790">
        <f t="shared" si="51"/>
        <v>0.00021268438422614</v>
      </c>
      <c r="E790">
        <f t="shared" si="49"/>
        <v>0.000220192111141176</v>
      </c>
      <c r="F790">
        <f t="shared" si="50"/>
        <v>5.6365963430749e-11</v>
      </c>
    </row>
    <row r="791" spans="1:6">
      <c r="A791">
        <v>1.362</v>
      </c>
      <c r="B791">
        <v>908.13</v>
      </c>
      <c r="C791">
        <f t="shared" si="48"/>
        <v>-0.00173832724317641</v>
      </c>
      <c r="D791">
        <f t="shared" si="51"/>
        <v>0.000554441494599595</v>
      </c>
      <c r="E791">
        <f t="shared" si="49"/>
        <v>0.000186182171589229</v>
      </c>
      <c r="F791">
        <f t="shared" si="50"/>
        <v>1.35614928984053e-7</v>
      </c>
    </row>
    <row r="792" spans="1:6">
      <c r="A792">
        <v>1.3638</v>
      </c>
      <c r="B792">
        <v>903.47</v>
      </c>
      <c r="C792">
        <f t="shared" si="48"/>
        <v>-0.00514463488421045</v>
      </c>
      <c r="D792">
        <f t="shared" si="51"/>
        <v>0.000278731638101982</v>
      </c>
      <c r="E792">
        <f t="shared" si="49"/>
        <v>0.000203942234926791</v>
      </c>
      <c r="F792">
        <f t="shared" si="50"/>
        <v>5.59345482730136e-9</v>
      </c>
    </row>
    <row r="793" spans="1:6">
      <c r="A793">
        <v>1.3612</v>
      </c>
      <c r="B793">
        <v>888.33</v>
      </c>
      <c r="C793">
        <f t="shared" si="48"/>
        <v>-0.0168996096955658</v>
      </c>
      <c r="D793">
        <f t="shared" si="51"/>
        <v>0.000152599453096909</v>
      </c>
      <c r="E793">
        <f t="shared" si="49"/>
        <v>0.000202800702852103</v>
      </c>
      <c r="F793">
        <f t="shared" si="50"/>
        <v>2.52016547698335e-9</v>
      </c>
    </row>
    <row r="794" spans="1:6">
      <c r="A794">
        <v>1.3608</v>
      </c>
      <c r="B794">
        <v>887</v>
      </c>
      <c r="C794">
        <f t="shared" si="48"/>
        <v>-0.0014983132699999</v>
      </c>
      <c r="D794">
        <f t="shared" si="51"/>
        <v>0.000219098130479685</v>
      </c>
      <c r="E794">
        <f t="shared" si="49"/>
        <v>0.00019224966768782</v>
      </c>
      <c r="F794">
        <f t="shared" si="50"/>
        <v>7.20839954286184e-10</v>
      </c>
    </row>
    <row r="795" spans="1:6">
      <c r="A795">
        <v>1.3539</v>
      </c>
      <c r="B795">
        <v>910.33</v>
      </c>
      <c r="C795">
        <f t="shared" si="48"/>
        <v>0.0259621888269173</v>
      </c>
      <c r="D795">
        <f t="shared" si="51"/>
        <v>0.000110671536567371</v>
      </c>
      <c r="E795">
        <f t="shared" si="49"/>
        <v>0.000195951201878078</v>
      </c>
      <c r="F795">
        <f t="shared" si="50"/>
        <v>7.27262131550616e-9</v>
      </c>
    </row>
    <row r="796" spans="1:6">
      <c r="A796">
        <v>1.3503</v>
      </c>
      <c r="B796">
        <v>893.06</v>
      </c>
      <c r="C796">
        <f t="shared" si="48"/>
        <v>-0.0191534032673743</v>
      </c>
      <c r="D796">
        <f t="shared" si="51"/>
        <v>0.00039235339262594</v>
      </c>
      <c r="E796">
        <f t="shared" si="49"/>
        <v>0.000171408791227596</v>
      </c>
      <c r="F796">
        <f t="shared" si="50"/>
        <v>4.88165168870735e-8</v>
      </c>
    </row>
    <row r="797" spans="1:6">
      <c r="A797">
        <v>1.3608</v>
      </c>
      <c r="B797">
        <v>906.83</v>
      </c>
      <c r="C797">
        <f t="shared" si="48"/>
        <v>0.0153012335871015</v>
      </c>
      <c r="D797">
        <f t="shared" si="51"/>
        <v>0.000379603124674302</v>
      </c>
      <c r="E797">
        <f t="shared" si="49"/>
        <v>0.000192015791611588</v>
      </c>
      <c r="F797">
        <f t="shared" si="50"/>
        <v>3.51890075255818e-8</v>
      </c>
    </row>
    <row r="798" spans="1:6">
      <c r="A798">
        <v>1.3765</v>
      </c>
      <c r="B798">
        <v>919.14</v>
      </c>
      <c r="C798">
        <f t="shared" si="48"/>
        <v>0.0134834487964358</v>
      </c>
      <c r="D798">
        <f t="shared" si="51"/>
        <v>0.000306865436980673</v>
      </c>
      <c r="E798">
        <f t="shared" si="49"/>
        <v>0.000182810870413275</v>
      </c>
      <c r="F798">
        <f t="shared" si="50"/>
        <v>1.5389535486225e-8</v>
      </c>
    </row>
    <row r="799" spans="1:6">
      <c r="A799">
        <v>1.3804</v>
      </c>
      <c r="B799">
        <v>942.87</v>
      </c>
      <c r="C799">
        <f t="shared" si="48"/>
        <v>0.025489964977206</v>
      </c>
      <c r="D799">
        <f t="shared" si="51"/>
        <v>0.000244334414213389</v>
      </c>
      <c r="E799">
        <f t="shared" si="49"/>
        <v>0.00018871238739617</v>
      </c>
      <c r="F799">
        <f t="shared" si="50"/>
        <v>3.09380986725545e-9</v>
      </c>
    </row>
    <row r="800" spans="1:6">
      <c r="A800">
        <v>1.4005</v>
      </c>
      <c r="B800">
        <v>944.74</v>
      </c>
      <c r="C800">
        <f t="shared" si="48"/>
        <v>0.00198134213291664</v>
      </c>
      <c r="D800">
        <f t="shared" si="51"/>
        <v>0.000447036364376289</v>
      </c>
      <c r="E800">
        <f t="shared" si="49"/>
        <v>0.000158160669349579</v>
      </c>
      <c r="F800">
        <f t="shared" si="50"/>
        <v>8.3449167177165e-8</v>
      </c>
    </row>
    <row r="801" spans="1:6">
      <c r="A801">
        <v>1.3992</v>
      </c>
      <c r="B801">
        <v>931.76</v>
      </c>
      <c r="C801">
        <f t="shared" si="48"/>
        <v>-0.013834486568386</v>
      </c>
      <c r="D801">
        <f t="shared" si="51"/>
        <v>0.00022548104051198</v>
      </c>
      <c r="E801">
        <f t="shared" si="49"/>
        <v>0.000158834980395116</v>
      </c>
      <c r="F801">
        <f t="shared" si="50"/>
        <v>4.44169732910061e-9</v>
      </c>
    </row>
    <row r="802" spans="1:6">
      <c r="A802">
        <v>1.3924</v>
      </c>
      <c r="B802">
        <v>942.46</v>
      </c>
      <c r="C802">
        <f t="shared" si="48"/>
        <v>0.0114182073088512</v>
      </c>
      <c r="D802">
        <f t="shared" si="51"/>
        <v>0.000208437029561416</v>
      </c>
      <c r="E802">
        <f t="shared" si="49"/>
        <v>0.000153730801673715</v>
      </c>
      <c r="F802">
        <f t="shared" si="50"/>
        <v>2.99277136970112e-9</v>
      </c>
    </row>
    <row r="803" spans="1:6">
      <c r="A803">
        <v>1.3948</v>
      </c>
      <c r="B803">
        <v>940.09</v>
      </c>
      <c r="C803">
        <f t="shared" si="48"/>
        <v>-0.00251786274157646</v>
      </c>
      <c r="D803">
        <f t="shared" si="51"/>
        <v>0.00016940624385466</v>
      </c>
      <c r="E803">
        <f t="shared" si="49"/>
        <v>0.000174872023014351</v>
      </c>
      <c r="F803">
        <f t="shared" si="50"/>
        <v>2.98747418225136e-11</v>
      </c>
    </row>
    <row r="804" spans="1:6">
      <c r="A804">
        <v>1.4126</v>
      </c>
      <c r="B804">
        <v>939.14</v>
      </c>
      <c r="C804">
        <f t="shared" si="48"/>
        <v>-0.00101105248524807</v>
      </c>
      <c r="D804">
        <f t="shared" si="51"/>
        <v>8.78729383200393e-5</v>
      </c>
      <c r="E804">
        <f t="shared" si="49"/>
        <v>0.000176729907861142</v>
      </c>
      <c r="F804">
        <f t="shared" si="50"/>
        <v>7.8955610360284e-9</v>
      </c>
    </row>
    <row r="805" spans="1:6">
      <c r="A805">
        <v>1.4192</v>
      </c>
      <c r="B805">
        <v>942.43</v>
      </c>
      <c r="C805">
        <f t="shared" si="48"/>
        <v>0.00349708313051897</v>
      </c>
      <c r="D805">
        <f t="shared" si="51"/>
        <v>4.44475827239828e-5</v>
      </c>
      <c r="E805">
        <f t="shared" si="49"/>
        <v>0.000212839118710363</v>
      </c>
      <c r="F805">
        <f t="shared" si="50"/>
        <v>2.83557093918523e-8</v>
      </c>
    </row>
    <row r="806" spans="1:6">
      <c r="A806">
        <v>1.427</v>
      </c>
      <c r="B806">
        <v>939.15</v>
      </c>
      <c r="C806">
        <f t="shared" si="48"/>
        <v>-0.00348643514751312</v>
      </c>
      <c r="D806">
        <f t="shared" si="51"/>
        <v>2.83385865728716e-5</v>
      </c>
      <c r="E806">
        <f t="shared" si="49"/>
        <v>0.000215379867374559</v>
      </c>
      <c r="F806">
        <f t="shared" si="50"/>
        <v>3.49844407239355e-8</v>
      </c>
    </row>
    <row r="807" spans="1:6">
      <c r="A807">
        <v>1.4194</v>
      </c>
      <c r="B807">
        <v>944.89</v>
      </c>
      <c r="C807">
        <f t="shared" si="48"/>
        <v>0.00609330774265938</v>
      </c>
      <c r="D807">
        <f t="shared" si="51"/>
        <v>2.02469083053432e-5</v>
      </c>
      <c r="E807">
        <f t="shared" si="49"/>
        <v>0.000214901838738133</v>
      </c>
      <c r="F807">
        <f t="shared" si="50"/>
        <v>3.7890541941794e-8</v>
      </c>
    </row>
    <row r="808" spans="1:6">
      <c r="A808">
        <v>1.4187</v>
      </c>
      <c r="B808">
        <v>946.21</v>
      </c>
      <c r="C808">
        <f t="shared" si="48"/>
        <v>0.00139601312926227</v>
      </c>
      <c r="D808">
        <f t="shared" si="51"/>
        <v>2.8687653776048e-5</v>
      </c>
      <c r="E808">
        <f t="shared" si="49"/>
        <v>0.000218520760229281</v>
      </c>
      <c r="F808">
        <f t="shared" si="50"/>
        <v>3.60366083056843e-8</v>
      </c>
    </row>
    <row r="809" spans="1:6">
      <c r="A809">
        <v>1.399</v>
      </c>
      <c r="B809">
        <v>923.72</v>
      </c>
      <c r="C809">
        <f t="shared" si="48"/>
        <v>-0.0240555363156566</v>
      </c>
      <c r="D809">
        <f t="shared" si="51"/>
        <v>1.53182532165603e-5</v>
      </c>
      <c r="E809">
        <f t="shared" si="49"/>
        <v>0.000218914514483644</v>
      </c>
      <c r="F809">
        <f t="shared" si="50"/>
        <v>4.14514376019346e-8</v>
      </c>
    </row>
    <row r="810" spans="1:6">
      <c r="A810">
        <v>1.3884</v>
      </c>
      <c r="B810">
        <v>911.97</v>
      </c>
      <c r="C810">
        <f t="shared" si="48"/>
        <v>-0.0128019006192484</v>
      </c>
      <c r="D810">
        <f t="shared" si="51"/>
        <v>0.000296993540325217</v>
      </c>
      <c r="E810">
        <f t="shared" si="49"/>
        <v>0.000194290660709931</v>
      </c>
      <c r="F810">
        <f t="shared" si="50"/>
        <v>1.0547881481272e-8</v>
      </c>
    </row>
    <row r="811" spans="1:6">
      <c r="A811">
        <v>1.4014</v>
      </c>
      <c r="B811">
        <v>910.71</v>
      </c>
      <c r="C811">
        <f t="shared" si="48"/>
        <v>-0.00138257971855764</v>
      </c>
      <c r="D811">
        <f t="shared" si="51"/>
        <v>0.000230441099895165</v>
      </c>
      <c r="E811">
        <f t="shared" si="49"/>
        <v>0.00020339881715936</v>
      </c>
      <c r="F811">
        <f t="shared" si="50"/>
        <v>7.31285055563205e-10</v>
      </c>
    </row>
    <row r="812" spans="1:6">
      <c r="A812">
        <v>1.3983</v>
      </c>
      <c r="B812">
        <v>918.37</v>
      </c>
      <c r="C812">
        <f t="shared" si="48"/>
        <v>0.00837584444865828</v>
      </c>
      <c r="D812">
        <f t="shared" si="51"/>
        <v>0.000116176313286666</v>
      </c>
      <c r="E812">
        <f t="shared" si="49"/>
        <v>0.000202734463687694</v>
      </c>
      <c r="F812">
        <f t="shared" si="50"/>
        <v>7.49231340084705e-9</v>
      </c>
    </row>
    <row r="813" spans="1:6">
      <c r="A813">
        <v>1.4093</v>
      </c>
      <c r="B813">
        <v>921.23</v>
      </c>
      <c r="C813">
        <f t="shared" si="48"/>
        <v>0.00310937410769277</v>
      </c>
      <c r="D813">
        <f t="shared" si="51"/>
        <v>9.31655417573928e-5</v>
      </c>
      <c r="E813">
        <f t="shared" si="49"/>
        <v>0.000201443509277155</v>
      </c>
      <c r="F813">
        <f t="shared" si="50"/>
        <v>1.17241182502107e-8</v>
      </c>
    </row>
    <row r="814" spans="1:6">
      <c r="A814">
        <v>1.404</v>
      </c>
      <c r="B814">
        <v>893.04</v>
      </c>
      <c r="C814">
        <f t="shared" si="48"/>
        <v>-0.0310783609277622</v>
      </c>
      <c r="D814">
        <f t="shared" si="51"/>
        <v>5.14168745494915e-5</v>
      </c>
      <c r="E814">
        <f t="shared" si="49"/>
        <v>0.000202461017255933</v>
      </c>
      <c r="F814">
        <f t="shared" si="50"/>
        <v>2.28143330459239e-8</v>
      </c>
    </row>
    <row r="815" spans="1:6">
      <c r="A815">
        <v>1.3784</v>
      </c>
      <c r="B815">
        <v>895.1</v>
      </c>
      <c r="C815">
        <f t="shared" si="48"/>
        <v>0.00230407117041666</v>
      </c>
      <c r="D815">
        <f t="shared" si="51"/>
        <v>0.000508640696252874</v>
      </c>
      <c r="E815">
        <f t="shared" si="49"/>
        <v>0.000158570424967689</v>
      </c>
      <c r="F815">
        <f t="shared" si="50"/>
        <v>1.22549194837683e-7</v>
      </c>
    </row>
    <row r="816" spans="1:6">
      <c r="A816">
        <v>1.3878</v>
      </c>
      <c r="B816">
        <v>900.94</v>
      </c>
      <c r="C816">
        <f t="shared" si="48"/>
        <v>0.00650321883924837</v>
      </c>
      <c r="D816">
        <f t="shared" si="51"/>
        <v>0.00025697472010561</v>
      </c>
      <c r="E816">
        <f t="shared" si="49"/>
        <v>0.000161235305210702</v>
      </c>
      <c r="F816">
        <f t="shared" si="50"/>
        <v>9.16603556441925e-9</v>
      </c>
    </row>
    <row r="817" spans="1:6">
      <c r="A817">
        <v>1.385</v>
      </c>
      <c r="B817">
        <v>920.26</v>
      </c>
      <c r="C817">
        <f t="shared" si="48"/>
        <v>0.0212175760962814</v>
      </c>
      <c r="D817">
        <f t="shared" si="51"/>
        <v>0.000149633287688382</v>
      </c>
      <c r="E817">
        <f t="shared" si="49"/>
        <v>0.00016124317407608</v>
      </c>
      <c r="F817">
        <f t="shared" si="50"/>
        <v>1.34789461935243e-10</v>
      </c>
    </row>
    <row r="818" spans="1:6">
      <c r="A818">
        <v>1.3978</v>
      </c>
      <c r="B818">
        <v>918.9</v>
      </c>
      <c r="C818">
        <f t="shared" si="48"/>
        <v>-0.00147893630558369</v>
      </c>
      <c r="D818">
        <f t="shared" si="51"/>
        <v>0.000299909411544937</v>
      </c>
      <c r="E818">
        <f t="shared" si="49"/>
        <v>0.000154144239075288</v>
      </c>
      <c r="F818">
        <f t="shared" si="50"/>
        <v>2.12474855051066e-8</v>
      </c>
    </row>
    <row r="819" spans="1:6">
      <c r="A819">
        <v>1.3998</v>
      </c>
      <c r="B819">
        <v>927.23</v>
      </c>
      <c r="C819">
        <f t="shared" si="48"/>
        <v>0.00902434447413661</v>
      </c>
      <c r="D819">
        <f t="shared" si="51"/>
        <v>0.000151048332070455</v>
      </c>
      <c r="E819">
        <f t="shared" si="49"/>
        <v>0.000153204191043982</v>
      </c>
      <c r="F819">
        <f t="shared" si="50"/>
        <v>4.64772791373718e-12</v>
      </c>
    </row>
    <row r="820" spans="1:6">
      <c r="A820">
        <v>1.3846</v>
      </c>
      <c r="B820">
        <v>919.32</v>
      </c>
      <c r="C820">
        <f t="shared" si="48"/>
        <v>-0.00856738066424596</v>
      </c>
      <c r="D820">
        <f t="shared" si="51"/>
        <v>0.000116243562629168</v>
      </c>
      <c r="E820">
        <f t="shared" si="49"/>
        <v>0.000153382618077723</v>
      </c>
      <c r="F820">
        <f t="shared" si="50"/>
        <v>1.3793094396109e-9</v>
      </c>
    </row>
    <row r="821" spans="1:6">
      <c r="A821">
        <v>1.4035</v>
      </c>
      <c r="B821">
        <v>923.33</v>
      </c>
      <c r="C821">
        <f t="shared" si="48"/>
        <v>0.00435243408172491</v>
      </c>
      <c r="D821">
        <f t="shared" si="51"/>
        <v>9.48217870376316e-5</v>
      </c>
      <c r="E821">
        <f t="shared" si="49"/>
        <v>0.000151001220814853</v>
      </c>
      <c r="F821">
        <f t="shared" si="50"/>
        <v>3.15612877952919e-9</v>
      </c>
    </row>
    <row r="822" spans="1:6">
      <c r="A822">
        <v>1.4015</v>
      </c>
      <c r="B822">
        <v>896.42</v>
      </c>
      <c r="C822">
        <f t="shared" si="48"/>
        <v>-0.0295776472524855</v>
      </c>
      <c r="D822">
        <f t="shared" si="51"/>
        <v>5.68827347366961e-5</v>
      </c>
      <c r="E822">
        <f t="shared" si="49"/>
        <v>0.000154999700618419</v>
      </c>
      <c r="F822">
        <f t="shared" si="50"/>
        <v>9.62693899383521e-9</v>
      </c>
    </row>
    <row r="823" spans="1:6">
      <c r="A823">
        <v>1.3953</v>
      </c>
      <c r="B823">
        <v>898.72</v>
      </c>
      <c r="C823">
        <f t="shared" si="48"/>
        <v>0.00256247563815329</v>
      </c>
      <c r="D823">
        <f t="shared" si="51"/>
        <v>0.00046585997586458</v>
      </c>
      <c r="E823">
        <f t="shared" si="49"/>
        <v>0.000112118465776163</v>
      </c>
      <c r="F823">
        <f t="shared" si="50"/>
        <v>1.25133055959633e-7</v>
      </c>
    </row>
    <row r="824" spans="1:6">
      <c r="A824">
        <v>1.4056</v>
      </c>
      <c r="B824">
        <v>881.03</v>
      </c>
      <c r="C824">
        <f t="shared" si="48"/>
        <v>-0.0198798512143127</v>
      </c>
      <c r="D824">
        <f t="shared" si="51"/>
        <v>0.000236213128630354</v>
      </c>
      <c r="E824">
        <f t="shared" si="49"/>
        <v>0.000123470743646915</v>
      </c>
      <c r="F824">
        <f t="shared" si="50"/>
        <v>1.27108453717541e-8</v>
      </c>
    </row>
    <row r="825" spans="1:6">
      <c r="A825">
        <v>1.4058</v>
      </c>
      <c r="B825">
        <v>879.56</v>
      </c>
      <c r="C825">
        <f t="shared" si="48"/>
        <v>-0.00166989513924008</v>
      </c>
      <c r="D825">
        <f t="shared" si="51"/>
        <v>0.000315710806466782</v>
      </c>
      <c r="E825">
        <f t="shared" si="49"/>
        <v>0.000101653395458605</v>
      </c>
      <c r="F825">
        <f t="shared" si="50"/>
        <v>4.58205752075235e-8</v>
      </c>
    </row>
    <row r="826" spans="1:6">
      <c r="A826">
        <v>1.402</v>
      </c>
      <c r="B826">
        <v>882.68</v>
      </c>
      <c r="C826">
        <f t="shared" si="48"/>
        <v>0.00354095158431003</v>
      </c>
      <c r="D826">
        <f t="shared" si="51"/>
        <v>0.00015924967812142</v>
      </c>
      <c r="E826">
        <f t="shared" si="49"/>
        <v>9.9835456141338e-5</v>
      </c>
      <c r="F826">
        <f t="shared" si="50"/>
        <v>3.53004977349845e-9</v>
      </c>
    </row>
    <row r="827" spans="1:6">
      <c r="A827">
        <v>1.4186</v>
      </c>
      <c r="B827">
        <v>879.13</v>
      </c>
      <c r="C827">
        <f t="shared" si="48"/>
        <v>-0.00402995192953113</v>
      </c>
      <c r="D827">
        <f t="shared" si="51"/>
        <v>8.58940081219238e-5</v>
      </c>
      <c r="E827">
        <f t="shared" si="49"/>
        <v>0.000107297558022741</v>
      </c>
      <c r="F827">
        <f t="shared" si="50"/>
        <v>4.58111948356791e-10</v>
      </c>
    </row>
    <row r="828" spans="1:6">
      <c r="A828">
        <v>1.4018</v>
      </c>
      <c r="B828">
        <v>901.05</v>
      </c>
      <c r="C828">
        <f t="shared" si="48"/>
        <v>0.0246279678789313</v>
      </c>
      <c r="D828">
        <f t="shared" si="51"/>
        <v>5.10672603381277e-5</v>
      </c>
      <c r="E828">
        <f t="shared" si="49"/>
        <v>0.000138267952446091</v>
      </c>
      <c r="F828">
        <f t="shared" si="50"/>
        <v>7.60396070410785e-9</v>
      </c>
    </row>
    <row r="829" spans="1:6">
      <c r="A829">
        <v>1.3991</v>
      </c>
      <c r="B829">
        <v>905.84</v>
      </c>
      <c r="C829">
        <f t="shared" si="48"/>
        <v>0.00530194004150413</v>
      </c>
      <c r="D829">
        <f t="shared" si="51"/>
        <v>0.0003288020310919</v>
      </c>
      <c r="E829">
        <f t="shared" si="49"/>
        <v>0.000122602474167335</v>
      </c>
      <c r="F829">
        <f t="shared" si="50"/>
        <v>4.25182572758869e-8</v>
      </c>
    </row>
    <row r="830" spans="1:6">
      <c r="A830">
        <v>1.3938</v>
      </c>
      <c r="B830">
        <v>932.68</v>
      </c>
      <c r="C830">
        <f t="shared" si="48"/>
        <v>0.029199472375008</v>
      </c>
      <c r="D830">
        <f t="shared" si="51"/>
        <v>0.000178456299647802</v>
      </c>
      <c r="E830">
        <f t="shared" si="49"/>
        <v>0.000122901228635953</v>
      </c>
      <c r="F830">
        <f t="shared" si="50"/>
        <v>3.08636591513164e-9</v>
      </c>
    </row>
    <row r="831" spans="1:6">
      <c r="A831">
        <v>1.3965</v>
      </c>
      <c r="B831">
        <v>940.74</v>
      </c>
      <c r="C831">
        <f t="shared" si="48"/>
        <v>0.00860463721962199</v>
      </c>
      <c r="D831">
        <f t="shared" si="51"/>
        <v>0.000515532743313329</v>
      </c>
      <c r="E831">
        <f t="shared" si="49"/>
        <v>9.83958332958998e-5</v>
      </c>
      <c r="F831">
        <f t="shared" si="50"/>
        <v>1.74003201698889e-7</v>
      </c>
    </row>
    <row r="832" spans="1:6">
      <c r="A832">
        <v>1.3852</v>
      </c>
      <c r="B832">
        <v>940.38</v>
      </c>
      <c r="C832">
        <f t="shared" si="48"/>
        <v>-0.000382750706382333</v>
      </c>
      <c r="D832">
        <f t="shared" si="51"/>
        <v>0.000294786262497316</v>
      </c>
      <c r="E832">
        <f t="shared" si="49"/>
        <v>0.0001065693071719</v>
      </c>
      <c r="F832">
        <f t="shared" si="50"/>
        <v>3.54256222719698e-8</v>
      </c>
    </row>
    <row r="833" spans="1:6">
      <c r="A833">
        <v>1.4026</v>
      </c>
      <c r="B833">
        <v>951.13</v>
      </c>
      <c r="C833">
        <f t="shared" si="48"/>
        <v>0.0113667025214172</v>
      </c>
      <c r="D833">
        <f t="shared" si="51"/>
        <v>0.000147466380300276</v>
      </c>
      <c r="E833">
        <f t="shared" si="49"/>
        <v>0.000106618938127641</v>
      </c>
      <c r="F833">
        <f t="shared" si="50"/>
        <v>1.66851353204678e-9</v>
      </c>
    </row>
    <row r="834" spans="1:6">
      <c r="A834">
        <v>1.3926</v>
      </c>
      <c r="B834">
        <v>954.58</v>
      </c>
      <c r="C834">
        <f t="shared" si="48"/>
        <v>0.00362070175312619</v>
      </c>
      <c r="D834">
        <f t="shared" si="51"/>
        <v>0.000138334153255334</v>
      </c>
      <c r="E834">
        <f t="shared" si="49"/>
        <v>0.000103951772451507</v>
      </c>
      <c r="F834">
        <f t="shared" si="50"/>
        <v>1.18214810973942e-9</v>
      </c>
    </row>
    <row r="835" spans="1:6">
      <c r="A835">
        <v>1.3973</v>
      </c>
      <c r="B835">
        <v>954.07</v>
      </c>
      <c r="C835">
        <f t="shared" si="48"/>
        <v>-0.00053440915006703</v>
      </c>
      <c r="D835">
        <f t="shared" si="51"/>
        <v>7.57218172202126e-5</v>
      </c>
      <c r="E835">
        <f t="shared" si="49"/>
        <v>0.000104246981570354</v>
      </c>
      <c r="F835">
        <f t="shared" si="50"/>
        <v>8.13685001202557e-10</v>
      </c>
    </row>
    <row r="836" spans="1:6">
      <c r="A836">
        <v>1.3971</v>
      </c>
      <c r="B836">
        <v>976.29</v>
      </c>
      <c r="C836">
        <f t="shared" ref="C836:C899" si="52">LN(B836/B835)</f>
        <v>0.0230226294074081</v>
      </c>
      <c r="D836">
        <f t="shared" si="51"/>
        <v>3.8003705179944e-5</v>
      </c>
      <c r="E836">
        <f t="shared" ref="E836:E899" si="53">_xlfn.VAR.S(C836:C861)</f>
        <v>0.000103770961833517</v>
      </c>
      <c r="F836">
        <f t="shared" ref="F836:F899" si="54">(D836-E836)^2</f>
        <v>4.32533204773697e-9</v>
      </c>
    </row>
    <row r="837" spans="1:6">
      <c r="A837">
        <v>1.4116</v>
      </c>
      <c r="B837">
        <v>979.26</v>
      </c>
      <c r="C837">
        <f t="shared" si="52"/>
        <v>0.00303751096474312</v>
      </c>
      <c r="D837">
        <f t="shared" ref="D837:D900" si="55">$H$1*D836+(1-$H$1)*C836^2</f>
        <v>0.000284022585005398</v>
      </c>
      <c r="E837">
        <f t="shared" si="53"/>
        <v>8.77320267766227e-5</v>
      </c>
      <c r="F837">
        <f t="shared" si="54"/>
        <v>3.85299832497643e-8</v>
      </c>
    </row>
    <row r="838" spans="1:6">
      <c r="A838">
        <v>1.4115</v>
      </c>
      <c r="B838">
        <v>982.18</v>
      </c>
      <c r="C838">
        <f t="shared" si="52"/>
        <v>0.00297740655552802</v>
      </c>
      <c r="D838">
        <f t="shared" si="55"/>
        <v>0.000146624528933166</v>
      </c>
      <c r="E838">
        <f t="shared" si="53"/>
        <v>9.16032730634043e-5</v>
      </c>
      <c r="F838">
        <f t="shared" si="54"/>
        <v>3.02733859748583e-9</v>
      </c>
    </row>
    <row r="839" spans="1:6">
      <c r="A839">
        <v>1.412</v>
      </c>
      <c r="B839">
        <v>979.62</v>
      </c>
      <c r="C839">
        <f t="shared" si="52"/>
        <v>-0.00260984958005938</v>
      </c>
      <c r="D839">
        <f t="shared" si="55"/>
        <v>7.77447393650338e-5</v>
      </c>
      <c r="E839">
        <f t="shared" si="53"/>
        <v>0.000113507369369589</v>
      </c>
      <c r="F839">
        <f t="shared" si="54"/>
        <v>1.27896570484271e-9</v>
      </c>
    </row>
    <row r="840" spans="1:6">
      <c r="A840">
        <v>1.4211</v>
      </c>
      <c r="B840">
        <v>975.15</v>
      </c>
      <c r="C840">
        <f t="shared" si="52"/>
        <v>-0.00457343604754064</v>
      </c>
      <c r="D840">
        <f t="shared" si="55"/>
        <v>4.2278027097785e-5</v>
      </c>
      <c r="E840">
        <f t="shared" si="53"/>
        <v>0.000113704393811843</v>
      </c>
      <c r="F840">
        <f t="shared" si="54"/>
        <v>5.10172586197107e-9</v>
      </c>
    </row>
    <row r="841" spans="1:6">
      <c r="A841">
        <v>1.4196</v>
      </c>
      <c r="B841">
        <v>986.75</v>
      </c>
      <c r="C841">
        <f t="shared" si="52"/>
        <v>0.011825409224369</v>
      </c>
      <c r="D841">
        <f t="shared" si="55"/>
        <v>3.15971721893646e-5</v>
      </c>
      <c r="E841">
        <f t="shared" si="53"/>
        <v>0.000114877429670402</v>
      </c>
      <c r="F841">
        <f t="shared" si="54"/>
        <v>6.93560128610793e-9</v>
      </c>
    </row>
    <row r="842" spans="1:6">
      <c r="A842">
        <v>1.422</v>
      </c>
      <c r="B842">
        <v>987.48</v>
      </c>
      <c r="C842">
        <f t="shared" si="52"/>
        <v>0.000739528862665447</v>
      </c>
      <c r="D842">
        <f t="shared" si="55"/>
        <v>8.5718737756578e-5</v>
      </c>
      <c r="E842">
        <f t="shared" si="53"/>
        <v>0.000115969665697924</v>
      </c>
      <c r="F842">
        <f t="shared" si="54"/>
        <v>9.15118641312493e-10</v>
      </c>
    </row>
    <row r="843" spans="1:6">
      <c r="A843">
        <v>1.4266</v>
      </c>
      <c r="B843">
        <v>1002.63</v>
      </c>
      <c r="C843">
        <f t="shared" si="52"/>
        <v>0.015225583178395</v>
      </c>
      <c r="D843">
        <f t="shared" si="55"/>
        <v>4.31328203476466e-5</v>
      </c>
      <c r="E843">
        <f t="shared" si="53"/>
        <v>0.00011821473637838</v>
      </c>
      <c r="F843">
        <f t="shared" si="54"/>
        <v>5.63729411484602e-9</v>
      </c>
    </row>
    <row r="844" spans="1:6">
      <c r="A844">
        <v>1.4213</v>
      </c>
      <c r="B844">
        <v>1005.65</v>
      </c>
      <c r="C844">
        <f t="shared" si="52"/>
        <v>0.00300755101521311</v>
      </c>
      <c r="D844">
        <f t="shared" si="55"/>
        <v>0.000137475601734936</v>
      </c>
      <c r="E844">
        <f t="shared" si="53"/>
        <v>0.000112126251125964</v>
      </c>
      <c r="F844">
        <f t="shared" si="54"/>
        <v>6.42589576296595e-10</v>
      </c>
    </row>
    <row r="845" spans="1:6">
      <c r="A845">
        <v>1.4212</v>
      </c>
      <c r="B845">
        <v>1002.72</v>
      </c>
      <c r="C845">
        <f t="shared" si="52"/>
        <v>-0.00291779112286458</v>
      </c>
      <c r="D845">
        <f t="shared" si="55"/>
        <v>7.32604824220225e-5</v>
      </c>
      <c r="E845">
        <f t="shared" si="53"/>
        <v>0.000115297173718009</v>
      </c>
      <c r="F845">
        <f t="shared" si="54"/>
        <v>1.76708341511409e-9</v>
      </c>
    </row>
    <row r="846" spans="1:6">
      <c r="A846">
        <v>1.4215</v>
      </c>
      <c r="B846">
        <v>997.08</v>
      </c>
      <c r="C846">
        <f t="shared" si="52"/>
        <v>-0.00564057901147508</v>
      </c>
      <c r="D846">
        <f t="shared" si="55"/>
        <v>4.08869937293449e-5</v>
      </c>
      <c r="E846">
        <f t="shared" si="53"/>
        <v>0.000114844864510323</v>
      </c>
      <c r="F846">
        <f t="shared" si="54"/>
        <v>5.46976665045581e-9</v>
      </c>
    </row>
    <row r="847" spans="1:6">
      <c r="A847">
        <v>1.4033</v>
      </c>
      <c r="B847">
        <v>1010.48</v>
      </c>
      <c r="C847">
        <f t="shared" si="52"/>
        <v>0.0133497370008296</v>
      </c>
      <c r="D847">
        <f t="shared" si="55"/>
        <v>3.63515626570191e-5</v>
      </c>
      <c r="E847">
        <f t="shared" si="53"/>
        <v>0.000113509618534242</v>
      </c>
      <c r="F847">
        <f t="shared" si="54"/>
        <v>5.95336558675269e-9</v>
      </c>
    </row>
    <row r="848" spans="1:6">
      <c r="A848">
        <v>1.4066</v>
      </c>
      <c r="B848">
        <v>1007.1</v>
      </c>
      <c r="C848">
        <f t="shared" si="52"/>
        <v>-0.00335055181162084</v>
      </c>
      <c r="D848">
        <f t="shared" si="55"/>
        <v>0.000107283520324169</v>
      </c>
      <c r="E848">
        <f t="shared" si="53"/>
        <v>0.000108218650010454</v>
      </c>
      <c r="F848">
        <f t="shared" si="54"/>
        <v>8.74467530170652e-13</v>
      </c>
    </row>
    <row r="849" spans="1:6">
      <c r="A849">
        <v>1.4279</v>
      </c>
      <c r="B849">
        <v>994.35</v>
      </c>
      <c r="C849">
        <f t="shared" si="52"/>
        <v>-0.0127409352985887</v>
      </c>
      <c r="D849">
        <f t="shared" si="55"/>
        <v>5.92548588832623e-5</v>
      </c>
      <c r="E849">
        <f t="shared" si="53"/>
        <v>0.000114156736396706</v>
      </c>
      <c r="F849">
        <f t="shared" si="54"/>
        <v>3.01421615450115e-9</v>
      </c>
    </row>
    <row r="850" spans="1:6">
      <c r="A850">
        <v>1.4416</v>
      </c>
      <c r="B850">
        <v>1005.81</v>
      </c>
      <c r="C850">
        <f t="shared" si="52"/>
        <v>0.0114592086673896</v>
      </c>
      <c r="D850">
        <f t="shared" si="55"/>
        <v>0.000110793145583043</v>
      </c>
      <c r="E850">
        <f t="shared" si="53"/>
        <v>0.000106125712785806</v>
      </c>
      <c r="F850">
        <f t="shared" si="54"/>
        <v>2.17849289167241e-11</v>
      </c>
    </row>
    <row r="851" spans="1:6">
      <c r="A851">
        <v>1.44</v>
      </c>
      <c r="B851">
        <v>1012.73</v>
      </c>
      <c r="C851">
        <f t="shared" si="52"/>
        <v>0.00685646765458337</v>
      </c>
      <c r="D851">
        <f t="shared" si="55"/>
        <v>0.00012105330443291</v>
      </c>
      <c r="E851">
        <f t="shared" si="53"/>
        <v>0.000102907262853188</v>
      </c>
      <c r="F851">
        <f t="shared" si="54"/>
        <v>3.29278825012984e-10</v>
      </c>
    </row>
    <row r="852" spans="1:6">
      <c r="A852">
        <v>1.4391</v>
      </c>
      <c r="B852">
        <v>1004.09</v>
      </c>
      <c r="C852">
        <f t="shared" si="52"/>
        <v>-0.00856799600909886</v>
      </c>
      <c r="D852">
        <f t="shared" si="55"/>
        <v>8.4032226565629e-5</v>
      </c>
      <c r="E852">
        <f t="shared" si="53"/>
        <v>0.000103235157754478</v>
      </c>
      <c r="F852">
        <f t="shared" si="54"/>
        <v>3.68752566243657e-10</v>
      </c>
    </row>
    <row r="853" spans="1:6">
      <c r="A853">
        <v>1.4357</v>
      </c>
      <c r="B853">
        <v>979.73</v>
      </c>
      <c r="C853">
        <f t="shared" si="52"/>
        <v>-0.0245599141677569</v>
      </c>
      <c r="D853">
        <f t="shared" si="55"/>
        <v>7.87213910887815e-5</v>
      </c>
      <c r="E853">
        <f t="shared" si="53"/>
        <v>9.93381810441115e-5</v>
      </c>
      <c r="F853">
        <f t="shared" si="54"/>
        <v>4.25052028062195e-10</v>
      </c>
    </row>
    <row r="854" spans="1:6">
      <c r="A854">
        <v>1.418</v>
      </c>
      <c r="B854">
        <v>989.67</v>
      </c>
      <c r="C854">
        <f t="shared" si="52"/>
        <v>0.0100945307267705</v>
      </c>
      <c r="D854">
        <f t="shared" si="55"/>
        <v>0.000340955387508184</v>
      </c>
      <c r="E854">
        <f t="shared" si="53"/>
        <v>7.60922573696097e-5</v>
      </c>
      <c r="F854">
        <f t="shared" si="54"/>
        <v>7.01524777068033e-8</v>
      </c>
    </row>
    <row r="855" spans="1:6">
      <c r="A855">
        <v>1.4143</v>
      </c>
      <c r="B855">
        <v>996.46</v>
      </c>
      <c r="C855">
        <f t="shared" si="52"/>
        <v>0.00683744412807949</v>
      </c>
      <c r="D855">
        <f t="shared" si="55"/>
        <v>0.000221427469050949</v>
      </c>
      <c r="E855">
        <f t="shared" si="53"/>
        <v>7.9886353397469e-5</v>
      </c>
      <c r="F855">
        <f t="shared" si="54"/>
        <v>2.00338874204317e-8</v>
      </c>
    </row>
    <row r="856" spans="1:6">
      <c r="A856">
        <v>1.4141</v>
      </c>
      <c r="B856">
        <v>1007.37</v>
      </c>
      <c r="C856">
        <f t="shared" si="52"/>
        <v>0.0108892548819182</v>
      </c>
      <c r="D856">
        <f t="shared" si="55"/>
        <v>0.000134089055627779</v>
      </c>
      <c r="E856">
        <f t="shared" si="53"/>
        <v>8.16382599108974e-5</v>
      </c>
      <c r="F856">
        <f t="shared" si="54"/>
        <v>2.75108597133402e-9</v>
      </c>
    </row>
    <row r="857" spans="1:6">
      <c r="A857">
        <v>1.4215</v>
      </c>
      <c r="B857">
        <v>1026.13</v>
      </c>
      <c r="C857">
        <f t="shared" si="52"/>
        <v>0.0184514701198576</v>
      </c>
      <c r="D857">
        <f t="shared" si="55"/>
        <v>0.000126332463755579</v>
      </c>
      <c r="E857">
        <f t="shared" si="53"/>
        <v>8.83123148326192e-5</v>
      </c>
      <c r="F857">
        <f t="shared" si="54"/>
        <v>1.44553172412405e-9</v>
      </c>
    </row>
    <row r="858" spans="1:6">
      <c r="A858">
        <v>1.4283</v>
      </c>
      <c r="B858">
        <v>1025.57</v>
      </c>
      <c r="C858">
        <f t="shared" si="52"/>
        <v>-0.00054588878871821</v>
      </c>
      <c r="D858">
        <f t="shared" si="55"/>
        <v>0.000233394606669788</v>
      </c>
      <c r="E858">
        <f t="shared" si="53"/>
        <v>7.76548400968263e-5</v>
      </c>
      <c r="F858">
        <f t="shared" si="54"/>
        <v>2.42548748922007e-8</v>
      </c>
    </row>
    <row r="859" spans="1:6">
      <c r="A859">
        <v>1.4216</v>
      </c>
      <c r="B859">
        <v>1028</v>
      </c>
      <c r="C859">
        <f t="shared" si="52"/>
        <v>0.00236661144657553</v>
      </c>
      <c r="D859">
        <f t="shared" si="55"/>
        <v>0.000116846300619718</v>
      </c>
      <c r="E859">
        <f t="shared" si="53"/>
        <v>7.83590475192961e-5</v>
      </c>
      <c r="F859">
        <f t="shared" si="54"/>
        <v>1.48126865121596e-9</v>
      </c>
    </row>
    <row r="860" spans="1:6">
      <c r="A860">
        <v>1.4088</v>
      </c>
      <c r="B860">
        <v>1028.12</v>
      </c>
      <c r="C860">
        <f t="shared" si="52"/>
        <v>0.00011672470491625</v>
      </c>
      <c r="D860">
        <f t="shared" si="55"/>
        <v>6.12235751793903e-5</v>
      </c>
      <c r="E860">
        <f t="shared" si="53"/>
        <v>0.000106781545411053</v>
      </c>
      <c r="F860">
        <f t="shared" si="54"/>
        <v>2.07552865162905e-9</v>
      </c>
    </row>
    <row r="861" spans="1:6">
      <c r="A861">
        <v>1.4075</v>
      </c>
      <c r="B861">
        <v>1030.98</v>
      </c>
      <c r="C861">
        <f t="shared" si="52"/>
        <v>0.00277791446668222</v>
      </c>
      <c r="D861">
        <f t="shared" si="55"/>
        <v>3.06185999180641e-5</v>
      </c>
      <c r="E861">
        <f t="shared" si="53"/>
        <v>0.000107589272589966</v>
      </c>
      <c r="F861">
        <f t="shared" si="54"/>
        <v>5.92448445156514e-9</v>
      </c>
    </row>
    <row r="862" spans="1:6">
      <c r="A862">
        <v>1.4262</v>
      </c>
      <c r="B862">
        <v>1028.93</v>
      </c>
      <c r="C862">
        <f t="shared" si="52"/>
        <v>-0.00199037887749919</v>
      </c>
      <c r="D862">
        <f t="shared" si="55"/>
        <v>1.91677043511332e-5</v>
      </c>
      <c r="E862">
        <f t="shared" si="53"/>
        <v>0.00011588481311348</v>
      </c>
      <c r="F862">
        <f t="shared" si="54"/>
        <v>9.35419912734758e-9</v>
      </c>
    </row>
    <row r="863" spans="1:6">
      <c r="A863">
        <v>1.4235</v>
      </c>
      <c r="B863">
        <v>1020.62</v>
      </c>
      <c r="C863">
        <f t="shared" si="52"/>
        <v>-0.00810914155545123</v>
      </c>
      <c r="D863">
        <f t="shared" si="55"/>
        <v>1.15646562135641e-5</v>
      </c>
      <c r="E863">
        <f t="shared" si="53"/>
        <v>0.000122324290748087</v>
      </c>
      <c r="F863">
        <f t="shared" si="54"/>
        <v>1.22676966422211e-8</v>
      </c>
    </row>
    <row r="864" spans="1:6">
      <c r="A864">
        <v>1.4305</v>
      </c>
      <c r="B864">
        <v>998.04</v>
      </c>
      <c r="C864">
        <f t="shared" si="52"/>
        <v>-0.022372209085162</v>
      </c>
      <c r="D864">
        <f t="shared" si="55"/>
        <v>3.8661416489955e-5</v>
      </c>
      <c r="E864">
        <f t="shared" si="53"/>
        <v>0.000118983309323836</v>
      </c>
      <c r="F864">
        <f t="shared" si="54"/>
        <v>6.45160646841749e-9</v>
      </c>
    </row>
    <row r="865" spans="1:6">
      <c r="A865">
        <v>1.432</v>
      </c>
      <c r="B865">
        <v>994.75</v>
      </c>
      <c r="C865">
        <f t="shared" si="52"/>
        <v>-0.00330190636155836</v>
      </c>
      <c r="D865">
        <f t="shared" si="55"/>
        <v>0.00026958857792008</v>
      </c>
      <c r="E865">
        <f t="shared" si="53"/>
        <v>9.65472189789685e-5</v>
      </c>
      <c r="F865">
        <f t="shared" si="54"/>
        <v>2.99433119041866e-8</v>
      </c>
    </row>
    <row r="866" spans="1:6">
      <c r="A866">
        <v>1.435</v>
      </c>
      <c r="B866">
        <v>1003.24</v>
      </c>
      <c r="C866">
        <f t="shared" si="52"/>
        <v>0.00849859218502841</v>
      </c>
      <c r="D866">
        <f t="shared" si="55"/>
        <v>0.00014024558177029</v>
      </c>
      <c r="E866">
        <f t="shared" si="53"/>
        <v>9.54580770194218e-5</v>
      </c>
      <c r="F866">
        <f t="shared" si="54"/>
        <v>2.00592058180902e-9</v>
      </c>
    </row>
    <row r="867" spans="1:6">
      <c r="A867">
        <v>1.423</v>
      </c>
      <c r="B867">
        <v>1016.4</v>
      </c>
      <c r="C867">
        <f t="shared" si="52"/>
        <v>0.0130322099539427</v>
      </c>
      <c r="D867">
        <f t="shared" si="55"/>
        <v>0.000106235825448858</v>
      </c>
      <c r="E867">
        <f t="shared" si="53"/>
        <v>9.42516383469763e-5</v>
      </c>
      <c r="F867">
        <f t="shared" si="54"/>
        <v>1.43620740492904e-10</v>
      </c>
    </row>
    <row r="868" spans="1:6">
      <c r="A868">
        <v>1.4272</v>
      </c>
      <c r="B868">
        <v>1025.39</v>
      </c>
      <c r="C868">
        <f t="shared" si="52"/>
        <v>0.00880605556424882</v>
      </c>
      <c r="D868">
        <f t="shared" si="55"/>
        <v>0.000138037160866251</v>
      </c>
      <c r="E868">
        <f t="shared" si="53"/>
        <v>9.0802128739138e-5</v>
      </c>
      <c r="F868">
        <f t="shared" si="54"/>
        <v>2.23114826004935e-9</v>
      </c>
    </row>
    <row r="869" spans="1:6">
      <c r="A869">
        <v>1.4358</v>
      </c>
      <c r="B869">
        <v>1033.37</v>
      </c>
      <c r="C869">
        <f t="shared" si="52"/>
        <v>0.00775227803630014</v>
      </c>
      <c r="D869">
        <f t="shared" si="55"/>
        <v>0.000107791887733444</v>
      </c>
      <c r="E869">
        <f t="shared" si="53"/>
        <v>9.82517944767068e-5</v>
      </c>
      <c r="F869">
        <f t="shared" si="54"/>
        <v>9.10133793472445e-11</v>
      </c>
    </row>
    <row r="870" spans="1:6">
      <c r="A870">
        <v>1.4354</v>
      </c>
      <c r="B870">
        <v>1044.14</v>
      </c>
      <c r="C870">
        <f t="shared" si="52"/>
        <v>0.0103682740223345</v>
      </c>
      <c r="D870">
        <f t="shared" si="55"/>
        <v>8.39448512427728e-5</v>
      </c>
      <c r="E870">
        <f t="shared" si="53"/>
        <v>9.7214443064964e-5</v>
      </c>
      <c r="F870">
        <f t="shared" si="54"/>
        <v>1.76082067127564e-10</v>
      </c>
    </row>
    <row r="871" spans="1:6">
      <c r="A871">
        <v>1.4235</v>
      </c>
      <c r="B871">
        <v>1042.73</v>
      </c>
      <c r="C871">
        <f t="shared" si="52"/>
        <v>-0.0013513062285226</v>
      </c>
      <c r="D871">
        <f t="shared" si="55"/>
        <v>9.57229787224946e-5</v>
      </c>
      <c r="E871">
        <f t="shared" si="53"/>
        <v>9.84108489661692e-5</v>
      </c>
      <c r="F871">
        <f t="shared" si="54"/>
        <v>7.22464644683108e-12</v>
      </c>
    </row>
    <row r="872" spans="1:6">
      <c r="A872">
        <v>1.4246</v>
      </c>
      <c r="B872">
        <v>1049.34</v>
      </c>
      <c r="C872">
        <f t="shared" si="52"/>
        <v>0.00631912124878495</v>
      </c>
      <c r="D872">
        <f t="shared" si="55"/>
        <v>4.87745036228693e-5</v>
      </c>
      <c r="E872">
        <f t="shared" si="53"/>
        <v>0.000100320057241376</v>
      </c>
      <c r="F872">
        <f t="shared" si="54"/>
        <v>2.65694409783836e-9</v>
      </c>
    </row>
    <row r="873" spans="1:6">
      <c r="A873">
        <v>1.4278</v>
      </c>
      <c r="B873">
        <v>1052.63</v>
      </c>
      <c r="C873">
        <f t="shared" si="52"/>
        <v>0.00313039927940791</v>
      </c>
      <c r="D873">
        <f t="shared" si="55"/>
        <v>4.43528984898574e-5</v>
      </c>
      <c r="E873">
        <f t="shared" si="53"/>
        <v>0.00010204191293807</v>
      </c>
      <c r="F873">
        <f t="shared" si="54"/>
        <v>3.32802238800607e-9</v>
      </c>
    </row>
    <row r="874" spans="1:6">
      <c r="A874">
        <v>1.4278</v>
      </c>
      <c r="B874">
        <v>1068.76</v>
      </c>
      <c r="C874">
        <f t="shared" si="52"/>
        <v>0.0152073035637796</v>
      </c>
      <c r="D874">
        <f t="shared" si="55"/>
        <v>2.70761490691875e-5</v>
      </c>
      <c r="E874">
        <f t="shared" si="53"/>
        <v>0.00010603348801477</v>
      </c>
      <c r="F874">
        <f t="shared" si="54"/>
        <v>6.23426137336754e-9</v>
      </c>
    </row>
    <row r="875" spans="1:6">
      <c r="A875">
        <v>1.4497</v>
      </c>
      <c r="B875">
        <v>1065.49</v>
      </c>
      <c r="C875">
        <f t="shared" si="52"/>
        <v>-0.00306431070284601</v>
      </c>
      <c r="D875">
        <f t="shared" si="55"/>
        <v>0.000129169115375066</v>
      </c>
      <c r="E875">
        <f t="shared" si="53"/>
        <v>0.000101617169037581</v>
      </c>
      <c r="F875">
        <f t="shared" si="54"/>
        <v>7.59109746983625e-10</v>
      </c>
    </row>
    <row r="876" spans="1:6">
      <c r="A876">
        <v>1.4573</v>
      </c>
      <c r="B876">
        <v>1068.3</v>
      </c>
      <c r="C876">
        <f t="shared" si="52"/>
        <v>0.00263381272234547</v>
      </c>
      <c r="D876">
        <f t="shared" si="55"/>
        <v>6.92795577293211e-5</v>
      </c>
      <c r="E876">
        <f t="shared" si="53"/>
        <v>0.000107749131983123</v>
      </c>
      <c r="F876">
        <f t="shared" si="54"/>
        <v>1.47990814326878e-9</v>
      </c>
    </row>
    <row r="877" spans="1:6">
      <c r="A877">
        <v>1.4568</v>
      </c>
      <c r="B877">
        <v>1064.66</v>
      </c>
      <c r="C877">
        <f t="shared" si="52"/>
        <v>-0.00341310060536224</v>
      </c>
      <c r="D877">
        <f t="shared" si="55"/>
        <v>3.8108263592855e-5</v>
      </c>
      <c r="E877">
        <f t="shared" si="53"/>
        <v>0.00011329231833923</v>
      </c>
      <c r="F877">
        <f t="shared" si="54"/>
        <v>5.65264208810597e-9</v>
      </c>
    </row>
    <row r="878" spans="1:6">
      <c r="A878">
        <v>1.4586</v>
      </c>
      <c r="B878">
        <v>1071.66</v>
      </c>
      <c r="C878">
        <f t="shared" si="52"/>
        <v>0.00655334879796781</v>
      </c>
      <c r="D878">
        <f t="shared" si="55"/>
        <v>2.48787596675895e-5</v>
      </c>
      <c r="E878">
        <f t="shared" si="53"/>
        <v>0.000113268480306563</v>
      </c>
      <c r="F878">
        <f t="shared" si="54"/>
        <v>7.81274271463571e-9</v>
      </c>
    </row>
    <row r="879" spans="1:6">
      <c r="A879">
        <v>1.4613</v>
      </c>
      <c r="B879">
        <v>1060.87</v>
      </c>
      <c r="C879">
        <f t="shared" si="52"/>
        <v>-0.0101195219563223</v>
      </c>
      <c r="D879">
        <f t="shared" si="55"/>
        <v>3.39125700677078e-5</v>
      </c>
      <c r="E879">
        <f t="shared" si="53"/>
        <v>0.00012597025579877</v>
      </c>
      <c r="F879">
        <f t="shared" si="54"/>
        <v>8.4746175021591e-9</v>
      </c>
    </row>
    <row r="880" spans="1:6">
      <c r="A880">
        <v>1.4617</v>
      </c>
      <c r="B880">
        <v>1050.78</v>
      </c>
      <c r="C880">
        <f t="shared" si="52"/>
        <v>-0.00955658067549698</v>
      </c>
      <c r="D880">
        <f t="shared" si="55"/>
        <v>6.81586473460985e-5</v>
      </c>
      <c r="E880">
        <f t="shared" si="53"/>
        <v>0.000142835376725825</v>
      </c>
      <c r="F880">
        <f t="shared" si="54"/>
        <v>5.57661391085291e-9</v>
      </c>
    </row>
    <row r="881" spans="1:6">
      <c r="A881">
        <v>1.4698</v>
      </c>
      <c r="B881">
        <v>1044.38</v>
      </c>
      <c r="C881">
        <f t="shared" si="52"/>
        <v>-0.00610933762206621</v>
      </c>
      <c r="D881">
        <f t="shared" si="55"/>
        <v>7.97434407766904e-5</v>
      </c>
      <c r="E881">
        <f t="shared" si="53"/>
        <v>0.000171331316281439</v>
      </c>
      <c r="F881">
        <f t="shared" si="54"/>
        <v>8.3883389394733e-9</v>
      </c>
    </row>
    <row r="882" spans="1:6">
      <c r="A882">
        <v>1.4735</v>
      </c>
      <c r="B882">
        <v>1062.98</v>
      </c>
      <c r="C882">
        <f t="shared" si="52"/>
        <v>0.017652876598941</v>
      </c>
      <c r="D882">
        <f t="shared" si="55"/>
        <v>5.8533723478542e-5</v>
      </c>
      <c r="E882">
        <f t="shared" si="53"/>
        <v>0.000171792624702553</v>
      </c>
      <c r="F882">
        <f t="shared" si="54"/>
        <v>1.28275787064702e-8</v>
      </c>
    </row>
    <row r="883" spans="1:6">
      <c r="A883">
        <v>1.4704</v>
      </c>
      <c r="B883">
        <v>1060.61</v>
      </c>
      <c r="C883">
        <f t="shared" si="52"/>
        <v>-0.00223207020561614</v>
      </c>
      <c r="D883">
        <f t="shared" si="55"/>
        <v>0.00018507888784799</v>
      </c>
      <c r="E883">
        <f t="shared" si="53"/>
        <v>0.000159138310706278</v>
      </c>
      <c r="F883">
        <f t="shared" si="54"/>
        <v>6.72913542445131e-10</v>
      </c>
    </row>
    <row r="884" spans="1:6">
      <c r="A884">
        <v>1.4692</v>
      </c>
      <c r="B884">
        <v>1057.08</v>
      </c>
      <c r="C884">
        <f t="shared" si="52"/>
        <v>-0.00333382437418215</v>
      </c>
      <c r="D884">
        <f t="shared" si="55"/>
        <v>9.50305126253948e-5</v>
      </c>
      <c r="E884">
        <f t="shared" si="53"/>
        <v>0.000159133883591304</v>
      </c>
      <c r="F884">
        <f t="shared" si="54"/>
        <v>4.10924216919299e-9</v>
      </c>
    </row>
    <row r="885" spans="1:6">
      <c r="A885">
        <v>1.4795</v>
      </c>
      <c r="B885">
        <v>1029.85</v>
      </c>
      <c r="C885">
        <f t="shared" si="52"/>
        <v>-0.026097229359218</v>
      </c>
      <c r="D885">
        <f t="shared" si="55"/>
        <v>5.30724487916429e-5</v>
      </c>
      <c r="E885">
        <f t="shared" si="53"/>
        <v>0.000173361314760735</v>
      </c>
      <c r="F885">
        <f t="shared" si="54"/>
        <v>1.44694112761302e-8</v>
      </c>
    </row>
    <row r="886" spans="1:6">
      <c r="A886">
        <v>1.4752</v>
      </c>
      <c r="B886">
        <v>1025.21</v>
      </c>
      <c r="C886">
        <f t="shared" si="52"/>
        <v>-0.00451569091383879</v>
      </c>
      <c r="D886">
        <f t="shared" si="55"/>
        <v>0.000367068914509636</v>
      </c>
      <c r="E886">
        <f t="shared" si="53"/>
        <v>0.000144319176553745</v>
      </c>
      <c r="F886">
        <f t="shared" si="54"/>
        <v>4.96174457594184e-8</v>
      </c>
    </row>
    <row r="887" spans="1:6">
      <c r="A887">
        <v>1.4696</v>
      </c>
      <c r="B887">
        <v>1040.46</v>
      </c>
      <c r="C887">
        <f t="shared" si="52"/>
        <v>0.0147654534018652</v>
      </c>
      <c r="D887">
        <f t="shared" si="55"/>
        <v>0.000193730189469481</v>
      </c>
      <c r="E887">
        <f t="shared" si="53"/>
        <v>0.000158707374857304</v>
      </c>
      <c r="F887">
        <f t="shared" si="54"/>
        <v>1.22659754335897e-9</v>
      </c>
    </row>
    <row r="888" spans="1:6">
      <c r="A888">
        <v>1.4682</v>
      </c>
      <c r="B888">
        <v>1054.72</v>
      </c>
      <c r="C888">
        <f t="shared" si="52"/>
        <v>0.0136124058024847</v>
      </c>
      <c r="D888">
        <f t="shared" si="55"/>
        <v>0.000205874401816067</v>
      </c>
      <c r="E888">
        <f t="shared" si="53"/>
        <v>0.000152573385949507</v>
      </c>
      <c r="F888">
        <f t="shared" si="54"/>
        <v>2.84099829240726e-9</v>
      </c>
    </row>
    <row r="889" spans="1:6">
      <c r="A889">
        <v>1.465</v>
      </c>
      <c r="B889">
        <v>1057.58</v>
      </c>
      <c r="C889">
        <f t="shared" si="52"/>
        <v>0.00270795033631287</v>
      </c>
      <c r="D889">
        <f t="shared" si="55"/>
        <v>0.000195585996773793</v>
      </c>
      <c r="E889">
        <f t="shared" si="53"/>
        <v>0.000147358410136145</v>
      </c>
      <c r="F889">
        <f t="shared" si="54"/>
        <v>2.32590011289185e-9</v>
      </c>
    </row>
    <row r="890" spans="1:6">
      <c r="A890">
        <v>1.4553</v>
      </c>
      <c r="B890">
        <v>1065.48</v>
      </c>
      <c r="C890">
        <f t="shared" si="52"/>
        <v>0.00744212265492532</v>
      </c>
      <c r="D890">
        <f t="shared" si="55"/>
        <v>0.000101459495898865</v>
      </c>
      <c r="E890">
        <f t="shared" si="53"/>
        <v>0.000152687768597937</v>
      </c>
      <c r="F890">
        <f t="shared" si="54"/>
        <v>2.62433592373051e-9</v>
      </c>
    </row>
    <row r="891" spans="1:6">
      <c r="A891">
        <v>1.463</v>
      </c>
      <c r="B891">
        <v>1071.49</v>
      </c>
      <c r="C891">
        <f t="shared" si="52"/>
        <v>0.00562480132669331</v>
      </c>
      <c r="D891">
        <f t="shared" si="55"/>
        <v>7.84223427549088e-5</v>
      </c>
      <c r="E891">
        <f t="shared" si="53"/>
        <v>0.000151924189946899</v>
      </c>
      <c r="F891">
        <f t="shared" si="54"/>
        <v>5.40252154063463e-9</v>
      </c>
    </row>
    <row r="892" spans="1:6">
      <c r="A892">
        <v>1.4532</v>
      </c>
      <c r="B892">
        <v>1076.19</v>
      </c>
      <c r="C892">
        <f t="shared" si="52"/>
        <v>0.00437682290005114</v>
      </c>
      <c r="D892">
        <f t="shared" si="55"/>
        <v>5.50303663598398e-5</v>
      </c>
      <c r="E892">
        <f t="shared" si="53"/>
        <v>0.000158096528437198</v>
      </c>
      <c r="F892">
        <f t="shared" si="54"/>
        <v>1.06226337653563e-8</v>
      </c>
    </row>
    <row r="893" spans="1:6">
      <c r="A893">
        <v>1.459</v>
      </c>
      <c r="B893">
        <v>1073.19</v>
      </c>
      <c r="C893">
        <f t="shared" si="52"/>
        <v>-0.00279150447861626</v>
      </c>
      <c r="D893">
        <f t="shared" si="55"/>
        <v>3.7093472529126e-5</v>
      </c>
      <c r="E893">
        <f t="shared" si="53"/>
        <v>0.000157714616810861</v>
      </c>
      <c r="F893">
        <f t="shared" si="54"/>
        <v>1.45494604478352e-8</v>
      </c>
    </row>
    <row r="894" spans="1:6">
      <c r="A894">
        <v>1.4647</v>
      </c>
      <c r="B894">
        <v>1092.02</v>
      </c>
      <c r="C894">
        <f t="shared" si="52"/>
        <v>0.0173936705750833</v>
      </c>
      <c r="D894">
        <f t="shared" si="55"/>
        <v>2.24429848916303e-5</v>
      </c>
      <c r="E894">
        <f t="shared" si="53"/>
        <v>0.000157180226318055</v>
      </c>
      <c r="F894">
        <f t="shared" si="54"/>
        <v>1.81541242272026e-8</v>
      </c>
    </row>
    <row r="895" spans="1:6">
      <c r="A895">
        <v>1.4744</v>
      </c>
      <c r="B895">
        <v>1096.56</v>
      </c>
      <c r="C895">
        <f t="shared" si="52"/>
        <v>0.00414881476767817</v>
      </c>
      <c r="D895">
        <f t="shared" si="55"/>
        <v>0.000162491380483074</v>
      </c>
      <c r="E895">
        <f t="shared" si="53"/>
        <v>0.000154107208283725</v>
      </c>
      <c r="F895">
        <f t="shared" si="54"/>
        <v>7.02943434683362e-11</v>
      </c>
    </row>
    <row r="896" spans="1:6">
      <c r="A896">
        <v>1.4675</v>
      </c>
      <c r="B896">
        <v>1087.68</v>
      </c>
      <c r="C896">
        <f t="shared" si="52"/>
        <v>-0.00813101941537444</v>
      </c>
      <c r="D896">
        <f t="shared" si="55"/>
        <v>8.98520222297895e-5</v>
      </c>
      <c r="E896">
        <f t="shared" si="53"/>
        <v>0.000153809638489708</v>
      </c>
      <c r="F896">
        <f t="shared" si="54"/>
        <v>4.09057667765103e-9</v>
      </c>
    </row>
    <row r="897" spans="1:6">
      <c r="A897">
        <v>1.4777</v>
      </c>
      <c r="B897">
        <v>1097.91</v>
      </c>
      <c r="C897">
        <f t="shared" si="52"/>
        <v>0.00936138498911453</v>
      </c>
      <c r="D897">
        <f t="shared" si="55"/>
        <v>7.79827494814928e-5</v>
      </c>
      <c r="E897">
        <f t="shared" si="53"/>
        <v>0.00015807502231141</v>
      </c>
      <c r="F897">
        <f t="shared" si="54"/>
        <v>6.41477216706188e-9</v>
      </c>
    </row>
    <row r="898" spans="1:6">
      <c r="A898">
        <v>1.4715</v>
      </c>
      <c r="B898">
        <v>1091.06</v>
      </c>
      <c r="C898">
        <f t="shared" si="52"/>
        <v>-0.00625867175893877</v>
      </c>
      <c r="D898">
        <f t="shared" si="55"/>
        <v>8.28091391979558e-5</v>
      </c>
      <c r="E898">
        <f t="shared" si="53"/>
        <v>0.000154945495535303</v>
      </c>
      <c r="F898">
        <f t="shared" si="54"/>
        <v>5.20365390562878e-9</v>
      </c>
    </row>
    <row r="899" spans="1:6">
      <c r="A899">
        <v>1.4839</v>
      </c>
      <c r="B899">
        <v>1081.4</v>
      </c>
      <c r="C899">
        <f t="shared" si="52"/>
        <v>-0.00889320279002224</v>
      </c>
      <c r="D899">
        <f t="shared" si="55"/>
        <v>6.09900556920468e-5</v>
      </c>
      <c r="E899">
        <f t="shared" si="53"/>
        <v>0.00015377620477324</v>
      </c>
      <c r="F899">
        <f t="shared" si="54"/>
        <v>8.60926946131732e-9</v>
      </c>
    </row>
    <row r="900" spans="1:6">
      <c r="A900">
        <v>1.4899</v>
      </c>
      <c r="B900">
        <v>1092.91</v>
      </c>
      <c r="C900">
        <f t="shared" ref="C900:C963" si="56">LN(B900/B899)</f>
        <v>0.0105873656608378</v>
      </c>
      <c r="D900">
        <f t="shared" si="55"/>
        <v>7.00395557782531e-5</v>
      </c>
      <c r="E900">
        <f t="shared" ref="E900:E963" si="57">_xlfn.VAR.S(C900:C925)</f>
        <v>0.000163053875106469</v>
      </c>
      <c r="F900">
        <f t="shared" ref="F900:F963" si="58">(D900-E900)^2</f>
        <v>8.6516636000914e-9</v>
      </c>
    </row>
    <row r="901" spans="1:6">
      <c r="A901">
        <v>1.4945</v>
      </c>
      <c r="B901">
        <v>1079.6</v>
      </c>
      <c r="C901">
        <f t="shared" si="56"/>
        <v>-0.0122532614648928</v>
      </c>
      <c r="D901">
        <f t="shared" ref="D901:D964" si="59">$H$1*D900+(1-$H$1)*C900^2</f>
        <v>9.10659337072703e-5</v>
      </c>
      <c r="E901">
        <f t="shared" si="57"/>
        <v>0.000159266666487586</v>
      </c>
      <c r="F901">
        <f t="shared" si="58"/>
        <v>4.65133995177202e-9</v>
      </c>
    </row>
    <row r="902" spans="1:6">
      <c r="A902">
        <v>1.4889</v>
      </c>
      <c r="B902">
        <v>1066.95</v>
      </c>
      <c r="C902">
        <f t="shared" si="56"/>
        <v>-0.0117864912962155</v>
      </c>
      <c r="D902">
        <f t="shared" si="59"/>
        <v>0.000120604175117149</v>
      </c>
      <c r="E902">
        <f t="shared" si="57"/>
        <v>0.000157933083764714</v>
      </c>
      <c r="F902">
        <f t="shared" si="58"/>
        <v>1.39344742081828e-9</v>
      </c>
    </row>
    <row r="903" spans="1:6">
      <c r="A903">
        <v>1.4947</v>
      </c>
      <c r="B903">
        <v>1063.41</v>
      </c>
      <c r="C903">
        <f t="shared" si="56"/>
        <v>-0.00332338502247637</v>
      </c>
      <c r="D903">
        <f t="shared" si="59"/>
        <v>0.000129762776096456</v>
      </c>
      <c r="E903">
        <f t="shared" si="57"/>
        <v>0.000151156576176604</v>
      </c>
      <c r="F903">
        <f t="shared" si="58"/>
        <v>4.57694681869321e-10</v>
      </c>
    </row>
    <row r="904" spans="1:6">
      <c r="A904">
        <v>1.4905</v>
      </c>
      <c r="B904">
        <v>1042.63</v>
      </c>
      <c r="C904">
        <f t="shared" si="56"/>
        <v>-0.0197343586868214</v>
      </c>
      <c r="D904">
        <f t="shared" si="59"/>
        <v>7.04038320520382e-5</v>
      </c>
      <c r="E904">
        <f t="shared" si="57"/>
        <v>0.000154133977283343</v>
      </c>
      <c r="F904">
        <f t="shared" si="58"/>
        <v>7.01073722045546e-9</v>
      </c>
    </row>
    <row r="905" spans="1:6">
      <c r="A905">
        <v>1.5009</v>
      </c>
      <c r="B905">
        <v>1066.11</v>
      </c>
      <c r="C905">
        <f t="shared" si="56"/>
        <v>0.0222701427572174</v>
      </c>
      <c r="D905">
        <f t="shared" si="59"/>
        <v>0.000229924372416081</v>
      </c>
      <c r="E905">
        <f t="shared" si="57"/>
        <v>0.000136164062935475</v>
      </c>
      <c r="F905">
        <f t="shared" si="58"/>
        <v>8.7909956338989e-9</v>
      </c>
    </row>
    <row r="906" spans="1:6">
      <c r="A906">
        <v>1.5003</v>
      </c>
      <c r="B906">
        <v>1036.19</v>
      </c>
      <c r="C906">
        <f t="shared" si="56"/>
        <v>-0.0284659852080267</v>
      </c>
      <c r="D906">
        <f t="shared" si="59"/>
        <v>0.000362941815421462</v>
      </c>
      <c r="E906">
        <f t="shared" si="57"/>
        <v>0.000120118694890078</v>
      </c>
      <c r="F906">
        <f t="shared" si="58"/>
        <v>5.8963067864599e-8</v>
      </c>
    </row>
    <row r="907" spans="1:6">
      <c r="A907">
        <v>1.5029</v>
      </c>
      <c r="B907">
        <v>1042.88</v>
      </c>
      <c r="C907">
        <f t="shared" si="56"/>
        <v>0.00643559196167001</v>
      </c>
      <c r="D907">
        <f t="shared" si="59"/>
        <v>0.000586627064642528</v>
      </c>
      <c r="E907">
        <f t="shared" si="57"/>
        <v>8.95324070082283e-5</v>
      </c>
      <c r="F907">
        <f t="shared" si="58"/>
        <v>2.47103098648562e-7</v>
      </c>
    </row>
    <row r="908" spans="1:6">
      <c r="A908">
        <v>1.4941</v>
      </c>
      <c r="B908">
        <v>1045.41</v>
      </c>
      <c r="C908">
        <f t="shared" si="56"/>
        <v>0.00242303630034567</v>
      </c>
      <c r="D908">
        <f t="shared" si="59"/>
        <v>0.00031402195426982</v>
      </c>
      <c r="E908">
        <f t="shared" si="57"/>
        <v>8.88480529040422e-5</v>
      </c>
      <c r="F908">
        <f t="shared" si="58"/>
        <v>5.0703285856285e-8</v>
      </c>
    </row>
    <row r="909" spans="1:6">
      <c r="A909">
        <v>1.4821</v>
      </c>
      <c r="B909">
        <v>1046.5</v>
      </c>
      <c r="C909">
        <f t="shared" si="56"/>
        <v>0.00104210993651182</v>
      </c>
      <c r="D909">
        <f t="shared" si="59"/>
        <v>0.000159946529591306</v>
      </c>
      <c r="E909">
        <f t="shared" si="57"/>
        <v>8.94323684876829e-5</v>
      </c>
      <c r="F909">
        <f t="shared" si="58"/>
        <v>4.97224691614777e-9</v>
      </c>
    </row>
    <row r="910" spans="1:6">
      <c r="A910">
        <v>1.4763</v>
      </c>
      <c r="B910">
        <v>1066.63</v>
      </c>
      <c r="C910">
        <f t="shared" si="56"/>
        <v>0.01905288264282</v>
      </c>
      <c r="D910">
        <f t="shared" si="59"/>
        <v>8.05162613555415e-5</v>
      </c>
      <c r="E910">
        <f t="shared" si="57"/>
        <v>8.94889974422769e-5</v>
      </c>
      <c r="F910">
        <f t="shared" si="58"/>
        <v>8.05099928822039e-11</v>
      </c>
    </row>
    <row r="911" spans="1:6">
      <c r="A911">
        <v>1.4819</v>
      </c>
      <c r="B911">
        <v>1069.3</v>
      </c>
      <c r="C911">
        <f t="shared" si="56"/>
        <v>0.00250008323373632</v>
      </c>
      <c r="D911">
        <f t="shared" si="59"/>
        <v>0.000221764299178307</v>
      </c>
      <c r="E911">
        <f t="shared" si="57"/>
        <v>7.87421768262418e-5</v>
      </c>
      <c r="F911">
        <f t="shared" si="58"/>
        <v>2.0455327482089e-8</v>
      </c>
    </row>
    <row r="912" spans="1:6">
      <c r="A912">
        <v>1.4755</v>
      </c>
      <c r="B912">
        <v>1093.08</v>
      </c>
      <c r="C912">
        <f t="shared" si="56"/>
        <v>0.0219951707821079</v>
      </c>
      <c r="D912">
        <f t="shared" si="59"/>
        <v>0.000114007357676958</v>
      </c>
      <c r="E912">
        <f t="shared" si="57"/>
        <v>8.07102211648934e-5</v>
      </c>
      <c r="F912">
        <f t="shared" si="58"/>
        <v>1.10869929990307e-9</v>
      </c>
    </row>
    <row r="913" spans="1:6">
      <c r="A913">
        <v>1.4828</v>
      </c>
      <c r="B913">
        <v>1093.01</v>
      </c>
      <c r="C913">
        <f t="shared" si="56"/>
        <v>-6.40412792005996e-5</v>
      </c>
      <c r="D913">
        <f t="shared" si="59"/>
        <v>0.000298897447705526</v>
      </c>
      <c r="E913">
        <f t="shared" si="57"/>
        <v>6.30183332278877e-5</v>
      </c>
      <c r="F913">
        <f t="shared" si="58"/>
        <v>5.56389566467546e-8</v>
      </c>
    </row>
    <row r="914" spans="1:6">
      <c r="A914">
        <v>1.4658</v>
      </c>
      <c r="B914">
        <v>1098.51</v>
      </c>
      <c r="C914">
        <f t="shared" si="56"/>
        <v>0.00501935784042459</v>
      </c>
      <c r="D914">
        <f t="shared" si="59"/>
        <v>0.000149450774495484</v>
      </c>
      <c r="E914">
        <f t="shared" si="57"/>
        <v>6.89811358994471e-5</v>
      </c>
      <c r="F914">
        <f t="shared" si="58"/>
        <v>6.47536273577673e-9</v>
      </c>
    </row>
    <row r="915" spans="1:6">
      <c r="A915">
        <v>1.4836</v>
      </c>
      <c r="B915">
        <v>1087.24</v>
      </c>
      <c r="C915">
        <f t="shared" si="56"/>
        <v>-0.0103123411871628</v>
      </c>
      <c r="D915">
        <f t="shared" si="59"/>
        <v>8.73223638128577e-5</v>
      </c>
      <c r="E915">
        <f t="shared" si="57"/>
        <v>6.93171702941943e-5</v>
      </c>
      <c r="F915">
        <f t="shared" si="58"/>
        <v>3.24186993644517e-10</v>
      </c>
    </row>
    <row r="916" spans="1:6">
      <c r="A916">
        <v>1.4857</v>
      </c>
      <c r="B916">
        <v>1093.48</v>
      </c>
      <c r="C916">
        <f t="shared" si="56"/>
        <v>0.00572289613594742</v>
      </c>
      <c r="D916">
        <f t="shared" si="59"/>
        <v>9.6833372286656e-5</v>
      </c>
      <c r="E916">
        <f t="shared" si="57"/>
        <v>6.8537590352628e-5</v>
      </c>
      <c r="F916">
        <f t="shared" si="58"/>
        <v>8.00651275258064e-10</v>
      </c>
    </row>
    <row r="917" spans="1:6">
      <c r="A917">
        <v>1.4835</v>
      </c>
      <c r="B917">
        <v>1109.3</v>
      </c>
      <c r="C917">
        <f t="shared" si="56"/>
        <v>0.0143639146898866</v>
      </c>
      <c r="D917">
        <f t="shared" si="59"/>
        <v>6.47924562347489e-5</v>
      </c>
      <c r="E917">
        <f t="shared" si="57"/>
        <v>6.78887934016851e-5</v>
      </c>
      <c r="F917">
        <f t="shared" si="58"/>
        <v>9.58730385135017e-12</v>
      </c>
    </row>
    <row r="918" spans="1:6">
      <c r="A918">
        <v>1.4999</v>
      </c>
      <c r="B918">
        <v>1110.32</v>
      </c>
      <c r="C918">
        <f t="shared" si="56"/>
        <v>0.000919076302970444</v>
      </c>
      <c r="D918">
        <f t="shared" si="59"/>
        <v>0.000135557250726544</v>
      </c>
      <c r="E918">
        <f t="shared" si="57"/>
        <v>6.04468418640944e-5</v>
      </c>
      <c r="F918">
        <f t="shared" si="58"/>
        <v>5.64157351948443e-9</v>
      </c>
    </row>
    <row r="919" spans="1:6">
      <c r="A919">
        <v>1.496</v>
      </c>
      <c r="B919">
        <v>1109.8</v>
      </c>
      <c r="C919">
        <f t="shared" si="56"/>
        <v>-0.000468443155783448</v>
      </c>
      <c r="D919">
        <f t="shared" si="59"/>
        <v>6.82009759886132e-5</v>
      </c>
      <c r="E919">
        <f t="shared" si="57"/>
        <v>6.13489029959037e-5</v>
      </c>
      <c r="F919">
        <f t="shared" si="58"/>
        <v>4.69509042974186e-11</v>
      </c>
    </row>
    <row r="920" spans="1:6">
      <c r="A920">
        <v>1.4865</v>
      </c>
      <c r="B920">
        <v>1094.9</v>
      </c>
      <c r="C920">
        <f t="shared" si="56"/>
        <v>-0.0135167840124215</v>
      </c>
      <c r="D920">
        <f t="shared" si="59"/>
        <v>3.42102074894068e-5</v>
      </c>
      <c r="E920">
        <f t="shared" si="57"/>
        <v>6.13171837972933e-5</v>
      </c>
      <c r="F920">
        <f t="shared" si="58"/>
        <v>7.34788164556324e-10</v>
      </c>
    </row>
    <row r="921" spans="1:6">
      <c r="A921">
        <v>1.4886</v>
      </c>
      <c r="B921">
        <v>1091.38</v>
      </c>
      <c r="C921">
        <f t="shared" si="56"/>
        <v>-0.00322008438219828</v>
      </c>
      <c r="D921">
        <f t="shared" si="59"/>
        <v>0.00010845682876393</v>
      </c>
      <c r="E921">
        <f t="shared" si="57"/>
        <v>5.32627888598195e-5</v>
      </c>
      <c r="F921">
        <f t="shared" si="58"/>
        <v>3.04638204093655e-9</v>
      </c>
    </row>
    <row r="922" spans="1:6">
      <c r="A922">
        <v>1.4977</v>
      </c>
      <c r="B922">
        <v>1106.24</v>
      </c>
      <c r="C922">
        <f t="shared" si="56"/>
        <v>0.0135239272360787</v>
      </c>
      <c r="D922">
        <f t="shared" si="59"/>
        <v>5.94128860962037e-5</v>
      </c>
      <c r="E922">
        <f t="shared" si="57"/>
        <v>5.25354043974776e-5</v>
      </c>
      <c r="F922">
        <f t="shared" si="58"/>
        <v>4.7299754516312e-11</v>
      </c>
    </row>
    <row r="923" spans="1:6">
      <c r="A923">
        <v>1.483</v>
      </c>
      <c r="B923">
        <v>1105.65</v>
      </c>
      <c r="C923">
        <f t="shared" si="56"/>
        <v>-0.000533480429852114</v>
      </c>
      <c r="D923">
        <f t="shared" si="59"/>
        <v>0.000121154746991477</v>
      </c>
      <c r="E923">
        <f t="shared" si="57"/>
        <v>5.07387348333464e-5</v>
      </c>
      <c r="F923">
        <f t="shared" si="58"/>
        <v>4.95841476825406e-9</v>
      </c>
    </row>
    <row r="924" spans="1:6">
      <c r="A924">
        <v>1.499</v>
      </c>
      <c r="B924">
        <v>1110.63</v>
      </c>
      <c r="C924">
        <f t="shared" si="56"/>
        <v>0.00449402456498625</v>
      </c>
      <c r="D924">
        <f t="shared" si="59"/>
        <v>6.07196741802563e-5</v>
      </c>
      <c r="E924">
        <f t="shared" si="57"/>
        <v>6.00401535588144e-5</v>
      </c>
      <c r="F924">
        <f t="shared" si="58"/>
        <v>4.61748274964847e-13</v>
      </c>
    </row>
    <row r="925" spans="1:6">
      <c r="A925">
        <v>1.4905</v>
      </c>
      <c r="B925">
        <v>1091.49</v>
      </c>
      <c r="C925">
        <f t="shared" si="56"/>
        <v>-0.0173836866244408</v>
      </c>
      <c r="D925">
        <f t="shared" si="59"/>
        <v>4.04579654854781e-5</v>
      </c>
      <c r="E925">
        <f t="shared" si="57"/>
        <v>5.97204060260026e-5</v>
      </c>
      <c r="F925">
        <f t="shared" si="58"/>
        <v>3.7104161557724e-10</v>
      </c>
    </row>
    <row r="926" spans="1:6">
      <c r="A926">
        <v>1.487</v>
      </c>
      <c r="B926">
        <v>1095.63</v>
      </c>
      <c r="C926">
        <f t="shared" si="56"/>
        <v>0.0037858050263811</v>
      </c>
      <c r="D926">
        <f t="shared" si="59"/>
        <v>0.00017132526307112</v>
      </c>
      <c r="E926">
        <f t="shared" si="57"/>
        <v>4.58788326205523e-5</v>
      </c>
      <c r="F926">
        <f t="shared" si="58"/>
        <v>1.57368069127891e-8</v>
      </c>
    </row>
    <row r="927" spans="1:6">
      <c r="A927">
        <v>1.4968</v>
      </c>
      <c r="B927">
        <v>1108.86</v>
      </c>
      <c r="C927">
        <f t="shared" si="56"/>
        <v>0.0120029202553859</v>
      </c>
      <c r="D927">
        <f t="shared" si="59"/>
        <v>9.28287913844462e-5</v>
      </c>
      <c r="E927">
        <f t="shared" si="57"/>
        <v>4.59171692316535e-5</v>
      </c>
      <c r="F927">
        <f t="shared" si="58"/>
        <v>2.2007002930064e-9</v>
      </c>
    </row>
    <row r="928" spans="1:6">
      <c r="A928">
        <v>1.4937</v>
      </c>
      <c r="B928">
        <v>1109.24</v>
      </c>
      <c r="C928">
        <f t="shared" si="56"/>
        <v>0.000342635592369741</v>
      </c>
      <c r="D928">
        <f t="shared" si="59"/>
        <v>0.0001184494430208</v>
      </c>
      <c r="E928">
        <f t="shared" si="57"/>
        <v>4.15137225586293e-5</v>
      </c>
      <c r="F928">
        <f t="shared" si="58"/>
        <v>5.91910508303322e-9</v>
      </c>
    </row>
    <row r="929" spans="1:6">
      <c r="A929">
        <v>1.5085</v>
      </c>
      <c r="B929">
        <v>1099.92</v>
      </c>
      <c r="C929">
        <f t="shared" si="56"/>
        <v>-0.00843764624911121</v>
      </c>
      <c r="D929">
        <f t="shared" si="59"/>
        <v>5.92834210849791e-5</v>
      </c>
      <c r="E929">
        <f t="shared" si="57"/>
        <v>4.14894954807868e-5</v>
      </c>
      <c r="F929">
        <f t="shared" si="58"/>
        <v>3.16623788407532e-10</v>
      </c>
    </row>
    <row r="930" spans="1:6">
      <c r="A930">
        <v>1.4963</v>
      </c>
      <c r="B930">
        <v>1105.98</v>
      </c>
      <c r="C930">
        <f t="shared" si="56"/>
        <v>0.00549436986715885</v>
      </c>
      <c r="D930">
        <f t="shared" si="59"/>
        <v>6.52386476550598e-5</v>
      </c>
      <c r="E930">
        <f t="shared" si="57"/>
        <v>4.22954831427226e-5</v>
      </c>
      <c r="F930">
        <f t="shared" si="58"/>
        <v>5.26388797840169e-10</v>
      </c>
    </row>
    <row r="931" spans="1:6">
      <c r="A931">
        <v>1.4994</v>
      </c>
      <c r="B931">
        <v>1103.25</v>
      </c>
      <c r="C931">
        <f t="shared" si="56"/>
        <v>-0.00247145058648064</v>
      </c>
      <c r="D931">
        <f t="shared" si="59"/>
        <v>4.77133739461015e-5</v>
      </c>
      <c r="E931">
        <f t="shared" si="57"/>
        <v>4.35463660248432e-5</v>
      </c>
      <c r="F931">
        <f t="shared" si="58"/>
        <v>1.73639550158292e-11</v>
      </c>
    </row>
    <row r="932" spans="1:6">
      <c r="A932">
        <v>1.51</v>
      </c>
      <c r="B932">
        <v>1091.94</v>
      </c>
      <c r="C932">
        <f t="shared" si="56"/>
        <v>-0.010304438409286</v>
      </c>
      <c r="D932">
        <f t="shared" si="59"/>
        <v>2.69107209737585e-5</v>
      </c>
      <c r="E932">
        <f t="shared" si="57"/>
        <v>4.29689569591459e-5</v>
      </c>
      <c r="F932">
        <f t="shared" si="58"/>
        <v>2.5786694296239e-10</v>
      </c>
    </row>
    <row r="933" spans="1:6">
      <c r="A933">
        <v>1.5059</v>
      </c>
      <c r="B933">
        <v>1095.95</v>
      </c>
      <c r="C933">
        <f t="shared" si="56"/>
        <v>0.00366563628899031</v>
      </c>
      <c r="D933">
        <f t="shared" si="59"/>
        <v>6.65460859522635e-5</v>
      </c>
      <c r="E933">
        <f t="shared" si="57"/>
        <v>4.35294589555451e-5</v>
      </c>
      <c r="F933">
        <f t="shared" si="58"/>
        <v>5.29765118306069e-10</v>
      </c>
    </row>
    <row r="934" spans="1:6">
      <c r="A934">
        <v>1.5081</v>
      </c>
      <c r="B934">
        <v>1102.35</v>
      </c>
      <c r="C934">
        <f t="shared" si="56"/>
        <v>0.00582269761362902</v>
      </c>
      <c r="D934">
        <f t="shared" si="59"/>
        <v>3.99914876777131e-5</v>
      </c>
      <c r="E934">
        <f t="shared" si="57"/>
        <v>4.79799380955694e-5</v>
      </c>
      <c r="F934">
        <f t="shared" si="58"/>
        <v>6.38153400785482e-11</v>
      </c>
    </row>
    <row r="935" spans="1:6">
      <c r="A935">
        <v>1.4885</v>
      </c>
      <c r="B935">
        <v>1106.41</v>
      </c>
      <c r="C935">
        <f t="shared" si="56"/>
        <v>0.00367627498920074</v>
      </c>
      <c r="D935">
        <f t="shared" si="59"/>
        <v>3.69476475887371e-5</v>
      </c>
      <c r="E935">
        <f t="shared" si="57"/>
        <v>5.31975833363544e-5</v>
      </c>
      <c r="F935">
        <f t="shared" si="58"/>
        <v>2.64060411801689e-10</v>
      </c>
    </row>
    <row r="936" spans="1:6">
      <c r="A936">
        <v>1.482</v>
      </c>
      <c r="B936">
        <v>1114.11</v>
      </c>
      <c r="C936">
        <f t="shared" si="56"/>
        <v>0.00693534024774782</v>
      </c>
      <c r="D936">
        <f t="shared" si="59"/>
        <v>2.523132269248e-5</v>
      </c>
      <c r="E936">
        <f t="shared" si="57"/>
        <v>6.87257187618859e-5</v>
      </c>
      <c r="F936">
        <f t="shared" si="58"/>
        <v>1.89176248944235e-9</v>
      </c>
    </row>
    <row r="937" spans="1:6">
      <c r="A937">
        <v>1.4741</v>
      </c>
      <c r="B937">
        <v>1107.93</v>
      </c>
      <c r="C937">
        <f t="shared" si="56"/>
        <v>-0.00556247046376002</v>
      </c>
      <c r="D937">
        <f t="shared" si="59"/>
        <v>3.66651335222554e-5</v>
      </c>
      <c r="E937">
        <f t="shared" si="57"/>
        <v>8.6348401232693e-5</v>
      </c>
      <c r="F937">
        <f t="shared" si="58"/>
        <v>2.46842709038701e-9</v>
      </c>
    </row>
    <row r="938" spans="1:6">
      <c r="A938">
        <v>1.4725</v>
      </c>
      <c r="B938">
        <v>1109.18</v>
      </c>
      <c r="C938">
        <f t="shared" si="56"/>
        <v>0.00112759414954119</v>
      </c>
      <c r="D938">
        <f t="shared" si="59"/>
        <v>3.3803105591229e-5</v>
      </c>
      <c r="E938">
        <f t="shared" si="57"/>
        <v>8.64269692498835e-5</v>
      </c>
      <c r="F938">
        <f t="shared" si="58"/>
        <v>2.76927102636466e-9</v>
      </c>
    </row>
    <row r="939" spans="1:6">
      <c r="A939">
        <v>1.4716</v>
      </c>
      <c r="B939">
        <v>1096.08</v>
      </c>
      <c r="C939">
        <f t="shared" si="56"/>
        <v>-0.0118808250208663</v>
      </c>
      <c r="D939">
        <f t="shared" si="59"/>
        <v>1.75372870786543e-5</v>
      </c>
      <c r="E939">
        <f t="shared" si="57"/>
        <v>8.68757242029454e-5</v>
      </c>
      <c r="F939">
        <f t="shared" si="58"/>
        <v>4.80781886283927e-9</v>
      </c>
    </row>
    <row r="940" spans="1:6">
      <c r="A940">
        <v>1.4601</v>
      </c>
      <c r="B940">
        <v>1102.47</v>
      </c>
      <c r="C940">
        <f t="shared" si="56"/>
        <v>0.00581293852157132</v>
      </c>
      <c r="D940">
        <f t="shared" si="59"/>
        <v>7.93456451275485e-5</v>
      </c>
      <c r="E940">
        <f t="shared" si="57"/>
        <v>8.25424547789994e-5</v>
      </c>
      <c r="F940">
        <f t="shared" si="58"/>
        <v>1.02195919476099e-11</v>
      </c>
    </row>
    <row r="941" spans="1:6">
      <c r="A941">
        <v>1.4645</v>
      </c>
      <c r="B941">
        <v>1114.05</v>
      </c>
      <c r="C941">
        <f t="shared" si="56"/>
        <v>0.0104489067169906</v>
      </c>
      <c r="D941">
        <f t="shared" si="59"/>
        <v>5.65679496915581e-5</v>
      </c>
      <c r="E941">
        <f t="shared" si="57"/>
        <v>8.64324424244691e-5</v>
      </c>
      <c r="F941">
        <f t="shared" si="58"/>
        <v>8.91887926194093e-10</v>
      </c>
    </row>
    <row r="942" spans="1:6">
      <c r="A942">
        <v>1.4514</v>
      </c>
      <c r="B942">
        <v>1118.02</v>
      </c>
      <c r="C942">
        <f t="shared" si="56"/>
        <v>0.00355723985927813</v>
      </c>
      <c r="D942">
        <f t="shared" si="59"/>
        <v>8.28738006359647e-5</v>
      </c>
      <c r="E942">
        <f t="shared" si="57"/>
        <v>8.43063004018079e-5</v>
      </c>
      <c r="F942">
        <f t="shared" si="58"/>
        <v>2.05205557914092e-12</v>
      </c>
    </row>
    <row r="943" spans="1:6">
      <c r="A943">
        <v>1.4577</v>
      </c>
      <c r="B943">
        <v>1120.59</v>
      </c>
      <c r="C943">
        <f t="shared" si="56"/>
        <v>0.00229606865784736</v>
      </c>
      <c r="D943">
        <f t="shared" si="59"/>
        <v>4.77638780262009e-5</v>
      </c>
      <c r="E943">
        <f t="shared" si="57"/>
        <v>9.2852287584857e-5</v>
      </c>
      <c r="F943">
        <f t="shared" si="58"/>
        <v>2.03296467652912e-9</v>
      </c>
    </row>
    <row r="944" spans="1:6">
      <c r="A944">
        <v>1.4317</v>
      </c>
      <c r="B944">
        <v>1126.48</v>
      </c>
      <c r="C944">
        <f t="shared" si="56"/>
        <v>0.00524239430851576</v>
      </c>
      <c r="D944">
        <f t="shared" si="59"/>
        <v>2.65179046538749e-5</v>
      </c>
      <c r="E944">
        <f t="shared" si="57"/>
        <v>9.99658956150201e-5</v>
      </c>
      <c r="F944">
        <f t="shared" si="58"/>
        <v>5.39460737622846e-9</v>
      </c>
    </row>
    <row r="945" spans="1:6">
      <c r="A945">
        <v>1.4281</v>
      </c>
      <c r="B945">
        <v>1127.78</v>
      </c>
      <c r="C945">
        <f t="shared" si="56"/>
        <v>0.00115337196606617</v>
      </c>
      <c r="D945">
        <f t="shared" si="59"/>
        <v>2.70003013699167e-5</v>
      </c>
      <c r="E945">
        <f t="shared" si="57"/>
        <v>9.93818859030801e-5</v>
      </c>
      <c r="F945">
        <f t="shared" si="58"/>
        <v>5.23909377953149e-9</v>
      </c>
    </row>
    <row r="946" spans="1:6">
      <c r="A946">
        <v>1.4319</v>
      </c>
      <c r="B946">
        <v>1126.2</v>
      </c>
      <c r="C946">
        <f t="shared" si="56"/>
        <v>-0.0014019647546042</v>
      </c>
      <c r="D946">
        <f t="shared" si="59"/>
        <v>1.4165284131012e-5</v>
      </c>
      <c r="E946">
        <f t="shared" si="57"/>
        <v>0.000135057917932539</v>
      </c>
      <c r="F946">
        <f t="shared" si="58"/>
        <v>1.46150289074702e-8</v>
      </c>
    </row>
    <row r="947" spans="1:6">
      <c r="A947">
        <v>1.4243</v>
      </c>
      <c r="B947">
        <v>1126.42</v>
      </c>
      <c r="C947">
        <f t="shared" si="56"/>
        <v>0.000195328107447835</v>
      </c>
      <c r="D947">
        <f t="shared" si="59"/>
        <v>8.06539465208221e-6</v>
      </c>
      <c r="E947">
        <f t="shared" si="57"/>
        <v>0.000136066080141759</v>
      </c>
      <c r="F947">
        <f t="shared" si="58"/>
        <v>1.6384175485827e-8</v>
      </c>
    </row>
    <row r="948" spans="1:6">
      <c r="A948">
        <v>1.4341</v>
      </c>
      <c r="B948">
        <v>1115.1</v>
      </c>
      <c r="C948">
        <f t="shared" si="56"/>
        <v>-0.0101003749566499</v>
      </c>
      <c r="D948">
        <f t="shared" si="59"/>
        <v>4.05177386082068e-6</v>
      </c>
      <c r="E948">
        <f t="shared" si="57"/>
        <v>0.000137574728449893</v>
      </c>
      <c r="F948">
        <f t="shared" si="58"/>
        <v>1.78283794021954e-8</v>
      </c>
    </row>
    <row r="949" spans="1:6">
      <c r="A949">
        <v>1.4367</v>
      </c>
      <c r="B949">
        <v>1132.99</v>
      </c>
      <c r="C949">
        <f t="shared" si="56"/>
        <v>0.0159160688924087</v>
      </c>
      <c r="D949">
        <f t="shared" si="59"/>
        <v>5.30346740628706e-5</v>
      </c>
      <c r="E949">
        <f t="shared" si="57"/>
        <v>0.000143920386308833</v>
      </c>
      <c r="F949">
        <f t="shared" si="58"/>
        <v>8.26021269045596e-9</v>
      </c>
    </row>
    <row r="950" spans="1:6">
      <c r="A950">
        <v>1.4392</v>
      </c>
      <c r="B950">
        <v>1136.52</v>
      </c>
      <c r="C950">
        <f t="shared" si="56"/>
        <v>0.00311080616228551</v>
      </c>
      <c r="D950">
        <f t="shared" si="59"/>
        <v>0.000153177961525385</v>
      </c>
      <c r="E950">
        <f t="shared" si="57"/>
        <v>0.000131201848121374</v>
      </c>
      <c r="F950">
        <f t="shared" si="58"/>
        <v>4.82949560345972e-10</v>
      </c>
    </row>
    <row r="951" spans="1:6">
      <c r="A951">
        <v>1.4356</v>
      </c>
      <c r="B951">
        <v>1137.14</v>
      </c>
      <c r="C951">
        <f t="shared" si="56"/>
        <v>0.000545376191134577</v>
      </c>
      <c r="D951">
        <f t="shared" si="59"/>
        <v>8.14275382523494e-5</v>
      </c>
      <c r="E951">
        <f t="shared" si="57"/>
        <v>0.000135644998023257</v>
      </c>
      <c r="F951">
        <f t="shared" si="58"/>
        <v>2.93953294400999e-9</v>
      </c>
    </row>
    <row r="952" spans="1:6">
      <c r="A952">
        <v>1.4316</v>
      </c>
      <c r="B952">
        <v>1141.69</v>
      </c>
      <c r="C952">
        <f t="shared" si="56"/>
        <v>0.00399328255842341</v>
      </c>
      <c r="D952">
        <f t="shared" si="59"/>
        <v>4.08624867211029e-5</v>
      </c>
      <c r="E952">
        <f t="shared" si="57"/>
        <v>0.000135387220416983</v>
      </c>
      <c r="F952">
        <f t="shared" si="58"/>
        <v>8.93492528027707e-9</v>
      </c>
    </row>
    <row r="953" spans="1:6">
      <c r="A953">
        <v>1.4332</v>
      </c>
      <c r="B953">
        <v>1144.98</v>
      </c>
      <c r="C953">
        <f t="shared" si="56"/>
        <v>0.00287754881130924</v>
      </c>
      <c r="D953">
        <f t="shared" si="59"/>
        <v>2.84043961562558e-5</v>
      </c>
      <c r="E953">
        <f t="shared" si="57"/>
        <v>0.000149560083384682</v>
      </c>
      <c r="F953">
        <f t="shared" si="58"/>
        <v>1.46787005477922e-8</v>
      </c>
    </row>
    <row r="954" spans="1:6">
      <c r="A954">
        <v>1.4419</v>
      </c>
      <c r="B954">
        <v>1146.98</v>
      </c>
      <c r="C954">
        <f t="shared" si="56"/>
        <v>0.0017452315988402</v>
      </c>
      <c r="D954">
        <f t="shared" si="59"/>
        <v>1.83423416588615e-5</v>
      </c>
      <c r="E954">
        <f t="shared" si="57"/>
        <v>0.000150115560683319</v>
      </c>
      <c r="F954">
        <f t="shared" si="58"/>
        <v>1.73641812520677e-8</v>
      </c>
    </row>
    <row r="955" spans="1:6">
      <c r="A955">
        <v>1.4402</v>
      </c>
      <c r="B955">
        <v>1136.22</v>
      </c>
      <c r="C955">
        <f t="shared" si="56"/>
        <v>-0.00942543768284899</v>
      </c>
      <c r="D955">
        <f t="shared" si="59"/>
        <v>1.06940874962259e-5</v>
      </c>
      <c r="E955">
        <f t="shared" si="57"/>
        <v>0.000152281745076532</v>
      </c>
      <c r="F955">
        <f t="shared" si="58"/>
        <v>2.0047064779078e-8</v>
      </c>
    </row>
    <row r="956" spans="1:6">
      <c r="A956">
        <v>1.4404</v>
      </c>
      <c r="B956">
        <v>1145.68</v>
      </c>
      <c r="C956">
        <f t="shared" si="56"/>
        <v>0.00829138366757844</v>
      </c>
      <c r="D956">
        <f t="shared" si="59"/>
        <v>4.97664815047478e-5</v>
      </c>
      <c r="E956">
        <f t="shared" si="57"/>
        <v>0.000149987097213493</v>
      </c>
      <c r="F956">
        <f t="shared" si="58"/>
        <v>1.00441718130399e-8</v>
      </c>
    </row>
    <row r="957" spans="1:6">
      <c r="A957">
        <v>1.4314</v>
      </c>
      <c r="B957">
        <v>1148.46</v>
      </c>
      <c r="C957">
        <f t="shared" si="56"/>
        <v>0.00242356731562611</v>
      </c>
      <c r="D957">
        <f t="shared" si="59"/>
        <v>5.92567623138672e-5</v>
      </c>
      <c r="E957">
        <f t="shared" si="57"/>
        <v>0.000146454580954454</v>
      </c>
      <c r="F957">
        <f t="shared" si="58"/>
        <v>7.60345957567663e-9</v>
      </c>
    </row>
    <row r="958" spans="1:6">
      <c r="A958">
        <v>1.4357</v>
      </c>
      <c r="B958">
        <v>1136.03</v>
      </c>
      <c r="C958">
        <f t="shared" si="56"/>
        <v>-0.0108821861029696</v>
      </c>
      <c r="D958">
        <f t="shared" si="59"/>
        <v>3.25652204236192e-5</v>
      </c>
      <c r="E958">
        <f t="shared" si="57"/>
        <v>0.000150320564287201</v>
      </c>
      <c r="F958">
        <f t="shared" si="58"/>
        <v>1.38663210084305e-8</v>
      </c>
    </row>
    <row r="959" spans="1:6">
      <c r="A959">
        <v>1.4536</v>
      </c>
      <c r="B959">
        <v>1150.23</v>
      </c>
      <c r="C959">
        <f t="shared" si="56"/>
        <v>0.0124221939768581</v>
      </c>
      <c r="D959">
        <f t="shared" si="59"/>
        <v>7.54935974016419e-5</v>
      </c>
      <c r="E959">
        <f t="shared" si="57"/>
        <v>0.000151714697527998</v>
      </c>
      <c r="F959">
        <f t="shared" si="58"/>
        <v>5.80965610447197e-9</v>
      </c>
    </row>
    <row r="960" spans="1:6">
      <c r="A960">
        <v>1.4523</v>
      </c>
      <c r="B960">
        <v>1138.04</v>
      </c>
      <c r="C960">
        <f t="shared" si="56"/>
        <v>-0.0106544379065253</v>
      </c>
      <c r="D960">
        <f t="shared" si="59"/>
        <v>0.000114902250300166</v>
      </c>
      <c r="E960">
        <f t="shared" si="57"/>
        <v>0.000144165783829856</v>
      </c>
      <c r="F960">
        <f t="shared" si="58"/>
        <v>8.56354394643311e-10</v>
      </c>
    </row>
    <row r="961" spans="1:6">
      <c r="A961">
        <v>1.4492</v>
      </c>
      <c r="B961">
        <v>1116.48</v>
      </c>
      <c r="C961">
        <f t="shared" si="56"/>
        <v>-0.0191266054550275</v>
      </c>
      <c r="D961">
        <f t="shared" si="59"/>
        <v>0.000114209648702084</v>
      </c>
      <c r="E961">
        <f t="shared" si="57"/>
        <v>0.000141037995252319</v>
      </c>
      <c r="F961">
        <f t="shared" si="58"/>
        <v>7.19760178619499e-10</v>
      </c>
    </row>
    <row r="962" spans="1:6">
      <c r="A962">
        <v>1.4478</v>
      </c>
      <c r="B962">
        <v>1091.76</v>
      </c>
      <c r="C962">
        <f t="shared" si="56"/>
        <v>-0.022389806068551</v>
      </c>
      <c r="D962">
        <f t="shared" si="59"/>
        <v>0.000240018342467186</v>
      </c>
      <c r="E962">
        <f t="shared" si="57"/>
        <v>0.00013186805877301</v>
      </c>
      <c r="F962">
        <f t="shared" si="58"/>
        <v>1.16964838631307e-8</v>
      </c>
    </row>
    <row r="963" spans="1:6">
      <c r="A963">
        <v>1.4376</v>
      </c>
      <c r="B963">
        <v>1096.78</v>
      </c>
      <c r="C963">
        <f t="shared" si="56"/>
        <v>0.00458754128692703</v>
      </c>
      <c r="D963">
        <f t="shared" si="59"/>
        <v>0.000370660879127255</v>
      </c>
      <c r="E963">
        <f t="shared" si="57"/>
        <v>0.000111145182343639</v>
      </c>
      <c r="F963">
        <f t="shared" si="58"/>
        <v>6.73483968770857e-8</v>
      </c>
    </row>
    <row r="964" spans="1:6">
      <c r="A964">
        <v>1.4269</v>
      </c>
      <c r="B964">
        <v>1092.17</v>
      </c>
      <c r="C964">
        <f t="shared" ref="C964:C1001" si="60">LN(B964/B963)</f>
        <v>-0.00421207137276615</v>
      </c>
      <c r="D964">
        <f t="shared" si="59"/>
        <v>0.000195853207093257</v>
      </c>
      <c r="E964">
        <f>_xlfn.VAR.S(C964:C989)</f>
        <v>0.000110591558566444</v>
      </c>
      <c r="F964">
        <f>(D964-E964)^2</f>
        <v>7.26954870950993e-9</v>
      </c>
    </row>
    <row r="965" spans="1:6">
      <c r="A965">
        <v>1.4094</v>
      </c>
      <c r="B965">
        <v>1097.5</v>
      </c>
      <c r="C965">
        <f t="shared" si="60"/>
        <v>0.00486832310530714</v>
      </c>
      <c r="D965">
        <f t="shared" ref="D965:D1001" si="61">$H$1*D964+(1-$H$1)*C964^2</f>
        <v>0.000106797376171267</v>
      </c>
      <c r="E965">
        <f>_xlfn.VAR.S(C965:C990)</f>
        <v>0.000109855660625529</v>
      </c>
      <c r="F965">
        <f>(D965-E965)^2</f>
        <v>9.353103803181e-12</v>
      </c>
    </row>
    <row r="966" spans="1:6">
      <c r="A966">
        <v>1.4106</v>
      </c>
      <c r="B966">
        <v>1084.53</v>
      </c>
      <c r="C966">
        <f t="shared" si="60"/>
        <v>-0.0118881525477086</v>
      </c>
      <c r="D966">
        <f t="shared" si="61"/>
        <v>6.5248973014467e-5</v>
      </c>
      <c r="E966">
        <f>_xlfn.VAR.S(C966:C991)</f>
        <v>0.00011574798808851</v>
      </c>
      <c r="F966">
        <f>(D966-E966)^2</f>
        <v>2.55015052344844e-9</v>
      </c>
    </row>
    <row r="967" spans="1:6">
      <c r="A967">
        <v>1.4154</v>
      </c>
      <c r="B967">
        <v>1073.87</v>
      </c>
      <c r="C967">
        <f t="shared" si="60"/>
        <v>-0.00987776748962245</v>
      </c>
      <c r="D967">
        <f t="shared" si="61"/>
        <v>0.000103288572006029</v>
      </c>
      <c r="E967">
        <f>_xlfn.VAR.S(C967:C992)</f>
        <v>0.000108556941834456</v>
      </c>
      <c r="F967">
        <f>(D967-E967)^2</f>
        <v>2.77557206490818e-11</v>
      </c>
    </row>
    <row r="968" spans="1:6">
      <c r="A968">
        <v>1.4146</v>
      </c>
      <c r="B968">
        <v>1089.19</v>
      </c>
      <c r="C968">
        <f t="shared" si="60"/>
        <v>0.014165354795151</v>
      </c>
      <c r="D968">
        <f t="shared" si="61"/>
        <v>0.000100429431292535</v>
      </c>
      <c r="E968">
        <f>_xlfn.VAR.S(C968:C993)</f>
        <v>0.00010283288658412</v>
      </c>
      <c r="F968">
        <f>(D968-E968)^2</f>
        <v>5.77659733864658e-12</v>
      </c>
    </row>
    <row r="969" spans="1:6">
      <c r="A969">
        <v>1.4063</v>
      </c>
      <c r="B969">
        <v>1103.32</v>
      </c>
      <c r="C969">
        <f t="shared" si="60"/>
        <v>0.0128895153306883</v>
      </c>
      <c r="D969">
        <f t="shared" si="61"/>
        <v>0.000150543353882521</v>
      </c>
      <c r="E969">
        <f>_xlfn.VAR.S(C969:C994)</f>
        <v>9.72647656960059e-5</v>
      </c>
      <c r="F969">
        <f>(D969-E969)^2</f>
        <v>2.83860795914831e-9</v>
      </c>
    </row>
    <row r="970" spans="1:6">
      <c r="A970">
        <v>1.4053</v>
      </c>
      <c r="B970">
        <v>1097.28</v>
      </c>
      <c r="C970">
        <f t="shared" si="60"/>
        <v>-0.00548942576327909</v>
      </c>
      <c r="D970">
        <f t="shared" si="61"/>
        <v>0.000158341479671285</v>
      </c>
      <c r="E970">
        <f>_xlfn.VAR.S(C970:C995)</f>
        <v>9.25254298693953e-5</v>
      </c>
      <c r="F970">
        <f>(D970-E970)^2</f>
        <v>4.33175241152484e-9</v>
      </c>
    </row>
    <row r="971" spans="1:6">
      <c r="A971">
        <v>1.3993</v>
      </c>
      <c r="B971">
        <v>1063.11</v>
      </c>
      <c r="C971">
        <f t="shared" si="60"/>
        <v>-0.0316358155714098</v>
      </c>
      <c r="D971">
        <f t="shared" si="61"/>
        <v>9.42376374409187e-5</v>
      </c>
      <c r="E971">
        <f>_xlfn.VAR.S(C971:C996)</f>
        <v>9.06036247829182e-5</v>
      </c>
      <c r="F971">
        <f>(D971-E971)^2</f>
        <v>1.32060479985078e-11</v>
      </c>
    </row>
    <row r="972" spans="1:6">
      <c r="A972">
        <v>1.387</v>
      </c>
      <c r="B972">
        <v>1066.19</v>
      </c>
      <c r="C972">
        <f t="shared" si="60"/>
        <v>0.0028929715381733</v>
      </c>
      <c r="D972">
        <f t="shared" si="61"/>
        <v>0.000547531232154587</v>
      </c>
      <c r="E972">
        <f>_xlfn.VAR.S(C972:C997)</f>
        <v>4.43623649385655e-5</v>
      </c>
      <c r="F972">
        <f>(D972-E972)^2</f>
        <v>2.53178908935454e-7</v>
      </c>
    </row>
    <row r="973" spans="1:6">
      <c r="A973">
        <v>1.3904</v>
      </c>
      <c r="B973">
        <v>1056.74</v>
      </c>
      <c r="C973">
        <f t="shared" si="60"/>
        <v>-0.00890284881529986</v>
      </c>
      <c r="D973">
        <f t="shared" si="61"/>
        <v>0.000277950258237634</v>
      </c>
      <c r="E973">
        <f>_xlfn.VAR.S(C973:C998)</f>
        <v>4.52127265337521e-5</v>
      </c>
      <c r="F973">
        <f>(D973-E973)^2</f>
        <v>5.41667586636153e-8</v>
      </c>
    </row>
    <row r="974" spans="1:6">
      <c r="A974">
        <v>1.3955</v>
      </c>
      <c r="B974">
        <v>1070.52</v>
      </c>
      <c r="C974">
        <f t="shared" si="60"/>
        <v>0.0129558142876733</v>
      </c>
      <c r="D974">
        <f t="shared" si="61"/>
        <v>0.00017860548763286</v>
      </c>
      <c r="E974">
        <f>_xlfn.VAR.S(C974:C999)</f>
        <v>3.92621788320049e-5</v>
      </c>
      <c r="F974">
        <f>(D974-E974)^2</f>
        <v>1.94165577075704e-8</v>
      </c>
    </row>
    <row r="975" spans="1:6">
      <c r="A975">
        <v>1.3907</v>
      </c>
      <c r="B975">
        <v>1068.13</v>
      </c>
      <c r="C975">
        <f t="shared" si="60"/>
        <v>-0.00223505575473478</v>
      </c>
      <c r="D975">
        <f t="shared" si="61"/>
        <v>0.00017322930574477</v>
      </c>
      <c r="E975">
        <f>_xlfn.VAR.S(C975:C1000)</f>
        <v>3.63091714557891e-5</v>
      </c>
      <c r="F975">
        <f>(D975-E975)^2</f>
        <v>1.87471231737125e-8</v>
      </c>
    </row>
    <row r="976" spans="1:6">
      <c r="A976">
        <v>1.3759</v>
      </c>
      <c r="B976">
        <v>1078.47</v>
      </c>
      <c r="C976">
        <f t="shared" si="60"/>
        <v>0.00963391407168701</v>
      </c>
      <c r="D976">
        <f t="shared" si="61"/>
        <v>8.91123899857714e-5</v>
      </c>
      <c r="E976">
        <f>_xlfn.VAR.S(C976:C1001)</f>
        <v>3.78886230100223e-5</v>
      </c>
      <c r="F976">
        <f>(D976-E976)^2</f>
        <v>2.62387430318585e-9</v>
      </c>
    </row>
    <row r="977" spans="1:4">
      <c r="A977">
        <v>1.3608</v>
      </c>
      <c r="B977">
        <v>1075.51</v>
      </c>
      <c r="C977">
        <f t="shared" si="60"/>
        <v>-0.00274840236515621</v>
      </c>
      <c r="D977">
        <f t="shared" si="61"/>
        <v>9.09623451632102e-5</v>
      </c>
    </row>
    <row r="978" spans="1:4">
      <c r="A978">
        <v>1.3699</v>
      </c>
      <c r="B978">
        <v>1094.87</v>
      </c>
      <c r="C978">
        <f t="shared" si="60"/>
        <v>0.017840667075975</v>
      </c>
      <c r="D978">
        <f t="shared" si="61"/>
        <v>4.92580303620032e-5</v>
      </c>
    </row>
    <row r="979" spans="1:4">
      <c r="A979">
        <v>1.3795</v>
      </c>
      <c r="B979">
        <v>1099.51</v>
      </c>
      <c r="C979">
        <f t="shared" si="60"/>
        <v>0.0042289912551942</v>
      </c>
      <c r="D979">
        <f t="shared" si="61"/>
        <v>0.000183773716038891</v>
      </c>
    </row>
    <row r="980" spans="1:4">
      <c r="A980">
        <v>1.3722</v>
      </c>
      <c r="B980">
        <v>1106.75</v>
      </c>
      <c r="C980">
        <f t="shared" si="60"/>
        <v>0.0065631666155927</v>
      </c>
      <c r="D980">
        <f t="shared" si="61"/>
        <v>0.0001008290415377</v>
      </c>
    </row>
    <row r="981" spans="1:4">
      <c r="A981">
        <v>1.364</v>
      </c>
      <c r="B981">
        <v>1109.17</v>
      </c>
      <c r="C981">
        <f t="shared" si="60"/>
        <v>0.00218419524359441</v>
      </c>
      <c r="D981">
        <f t="shared" si="61"/>
        <v>7.19520987808652e-5</v>
      </c>
    </row>
    <row r="982" spans="1:4">
      <c r="A982">
        <v>1.3625</v>
      </c>
      <c r="B982">
        <v>1108.01</v>
      </c>
      <c r="C982">
        <f t="shared" si="60"/>
        <v>-0.00104637431858516</v>
      </c>
      <c r="D982">
        <f t="shared" si="61"/>
        <v>3.83614038215028e-5</v>
      </c>
    </row>
    <row r="983" spans="1:4">
      <c r="A983">
        <v>1.3742</v>
      </c>
      <c r="B983">
        <v>1094.6</v>
      </c>
      <c r="C983">
        <f t="shared" si="60"/>
        <v>-0.012176613827442</v>
      </c>
      <c r="D983">
        <f t="shared" si="61"/>
        <v>1.97281515180487e-5</v>
      </c>
    </row>
    <row r="984" spans="1:4">
      <c r="A984">
        <v>1.3623</v>
      </c>
      <c r="B984">
        <v>1105.24</v>
      </c>
      <c r="C984">
        <f t="shared" si="60"/>
        <v>0.00967350622884524</v>
      </c>
      <c r="D984">
        <f t="shared" si="61"/>
        <v>8.39990379103502e-5</v>
      </c>
    </row>
    <row r="985" spans="1:4">
      <c r="A985">
        <v>1.3563</v>
      </c>
      <c r="B985">
        <v>1102.94</v>
      </c>
      <c r="C985">
        <f t="shared" si="60"/>
        <v>-0.00208316426355769</v>
      </c>
      <c r="D985">
        <f t="shared" si="61"/>
        <v>8.87878803349289e-5</v>
      </c>
    </row>
    <row r="986" spans="1:4">
      <c r="A986">
        <v>1.3538</v>
      </c>
      <c r="B986">
        <v>1104.49</v>
      </c>
      <c r="C986">
        <f t="shared" si="60"/>
        <v>0.00140434827355034</v>
      </c>
      <c r="D986">
        <f t="shared" si="61"/>
        <v>4.65637268419464e-5</v>
      </c>
    </row>
    <row r="987" spans="1:4">
      <c r="A987">
        <v>1.359</v>
      </c>
      <c r="B987">
        <v>1115.71</v>
      </c>
      <c r="C987">
        <f t="shared" si="60"/>
        <v>0.0101072835931917</v>
      </c>
      <c r="D987">
        <f t="shared" si="61"/>
        <v>2.42679604576851e-5</v>
      </c>
    </row>
    <row r="988" spans="1:4">
      <c r="A988">
        <v>1.3537</v>
      </c>
      <c r="B988">
        <v>1118.31</v>
      </c>
      <c r="C988">
        <f t="shared" si="60"/>
        <v>0.00232764359664057</v>
      </c>
      <c r="D988">
        <f t="shared" si="61"/>
        <v>6.32125710454436e-5</v>
      </c>
    </row>
    <row r="989" spans="1:4">
      <c r="A989">
        <v>1.3576</v>
      </c>
      <c r="B989">
        <v>1118.79</v>
      </c>
      <c r="C989">
        <f t="shared" si="60"/>
        <v>0.000429127001355303</v>
      </c>
      <c r="D989">
        <f t="shared" si="61"/>
        <v>3.43152478792127e-5</v>
      </c>
    </row>
    <row r="990" spans="1:4">
      <c r="A990">
        <v>1.3476</v>
      </c>
      <c r="B990">
        <v>1122.97</v>
      </c>
      <c r="C990">
        <f t="shared" si="60"/>
        <v>0.00372921708326629</v>
      </c>
      <c r="D990">
        <f t="shared" si="61"/>
        <v>1.72496989312525e-5</v>
      </c>
    </row>
    <row r="991" spans="1:4">
      <c r="A991">
        <v>1.366</v>
      </c>
      <c r="B991">
        <v>1138.7</v>
      </c>
      <c r="C991">
        <f t="shared" si="60"/>
        <v>0.0139102995934497</v>
      </c>
      <c r="D991">
        <f t="shared" si="61"/>
        <v>1.55783794926888e-5</v>
      </c>
    </row>
    <row r="992" spans="1:4">
      <c r="A992">
        <v>1.3516</v>
      </c>
      <c r="B992">
        <v>1138.5</v>
      </c>
      <c r="C992">
        <f t="shared" si="60"/>
        <v>-0.000175654312764998</v>
      </c>
      <c r="D992">
        <f t="shared" si="61"/>
        <v>0.000104537407136108</v>
      </c>
    </row>
    <row r="993" spans="1:4">
      <c r="A993">
        <v>1.3564</v>
      </c>
      <c r="B993">
        <v>1140.45</v>
      </c>
      <c r="C993">
        <f t="shared" si="60"/>
        <v>0.0017113148387611</v>
      </c>
      <c r="D993">
        <f t="shared" si="61"/>
        <v>5.22841307868504e-5</v>
      </c>
    </row>
    <row r="994" spans="1:4">
      <c r="A994">
        <v>1.3731</v>
      </c>
      <c r="B994">
        <v>1145.61</v>
      </c>
      <c r="C994">
        <f t="shared" si="60"/>
        <v>0.00451432487600701</v>
      </c>
      <c r="D994">
        <f t="shared" si="61"/>
        <v>2.76063646321072e-5</v>
      </c>
    </row>
    <row r="995" spans="1:4">
      <c r="A995">
        <v>1.3571</v>
      </c>
      <c r="B995">
        <v>1150.24</v>
      </c>
      <c r="C995">
        <f t="shared" si="60"/>
        <v>0.00403337001699889</v>
      </c>
      <c r="D995">
        <f t="shared" si="61"/>
        <v>2.39927468591214e-5</v>
      </c>
    </row>
    <row r="996" spans="1:4">
      <c r="A996">
        <v>1.3608</v>
      </c>
      <c r="B996">
        <v>1149.99</v>
      </c>
      <c r="C996">
        <f t="shared" si="60"/>
        <v>-0.000217369568246994</v>
      </c>
      <c r="D996">
        <f t="shared" si="61"/>
        <v>2.01304102765735e-5</v>
      </c>
    </row>
    <row r="997" spans="1:4">
      <c r="A997">
        <v>1.3613</v>
      </c>
      <c r="B997">
        <v>1150.51</v>
      </c>
      <c r="C997">
        <f t="shared" si="60"/>
        <v>0.000452075643430764</v>
      </c>
      <c r="D997">
        <f t="shared" si="61"/>
        <v>1.00888299028867e-5</v>
      </c>
    </row>
    <row r="998" spans="1:4">
      <c r="A998">
        <v>1.3586</v>
      </c>
      <c r="B998">
        <v>1159.46</v>
      </c>
      <c r="C998">
        <f t="shared" si="60"/>
        <v>0.00774905716149635</v>
      </c>
      <c r="D998">
        <f t="shared" si="61"/>
        <v>5.14660114513502e-6</v>
      </c>
    </row>
    <row r="999" spans="1:4">
      <c r="A999">
        <v>1.3658</v>
      </c>
      <c r="B999">
        <v>1166.21</v>
      </c>
      <c r="C999">
        <f t="shared" si="60"/>
        <v>0.00580479513756508</v>
      </c>
      <c r="D999">
        <f t="shared" si="61"/>
        <v>3.25972440186364e-5</v>
      </c>
    </row>
    <row r="1000" spans="1:4">
      <c r="A1000">
        <v>1.3674</v>
      </c>
      <c r="B1000">
        <v>1165.83</v>
      </c>
      <c r="C1000">
        <f t="shared" si="60"/>
        <v>-0.000325894927499834</v>
      </c>
      <c r="D1000">
        <f t="shared" si="61"/>
        <v>3.31464453038678e-5</v>
      </c>
    </row>
    <row r="1001" spans="1:4">
      <c r="A1001">
        <v>1.3753</v>
      </c>
      <c r="B1001">
        <v>1159.9</v>
      </c>
      <c r="C1001">
        <f t="shared" si="60"/>
        <v>-0.00509948519447621</v>
      </c>
      <c r="D1001">
        <f t="shared" si="61"/>
        <v>1.6626326403819e-5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Exchange_rate&amp;Index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WPS_1602328261</cp:lastModifiedBy>
  <dcterms:created xsi:type="dcterms:W3CDTF">2026-06-06T17:33:00Z</dcterms:created>
  <dcterms:modified xsi:type="dcterms:W3CDTF">2026-06-06T16:41:04Z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55AE01D28BE7C85D633E246A9A1C1612_43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